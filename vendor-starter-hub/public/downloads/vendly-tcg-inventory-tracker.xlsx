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Inventory" sheetId="2" state="visible" r:id="rId4"/>
    <sheet name="Sales Log" sheetId="3" state="visible" r:id="rId5"/>
    <sheet name="Show P&amp;L" sheetId="4" state="visible" r:id="rId6"/>
    <sheet name="Dashboard" sheetId="5" state="visible" r:id="rId7"/>
    <sheet name="Lists" sheetId="6" state="visible" r:id="rId8"/>
  </sheets>
  <definedNames>
    <definedName function="false" hidden="true" localSheetId="1" name="_xlnm._FilterDatabase" vbProcedure="false">Inventory!$A$2:$Q$253</definedName>
    <definedName function="false" hidden="true" localSheetId="2" name="_xlnm._FilterDatabase" vbProcedure="false">'Sales Log'!$A$2:$Q$503</definedName>
    <definedName function="false" hidden="false" name="CategoryList" vbProcedure="false">Lists!$A$3:$A$12</definedName>
    <definedName function="false" hidden="false" name="ChannelList" vbProcedure="false">Lists!$D$3:$D$9</definedName>
    <definedName function="false" hidden="false" name="ConditionList" vbProcedure="false">Lists!$B$3:$B$16</definedName>
    <definedName function="false" hidden="false" name="PaymentList" vbProcedure="false">Lists!$E$3:$E$8</definedName>
    <definedName function="false" hidden="false" name="StatusList" vbProcedure="false">Lists!$C$3:$C$9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Vendly TCG</author>
  </authors>
  <commentList>
    <comment ref="L2" authorId="0">
      <text>
        <r>
          <rPr>
            <sz val="10"/>
            <rFont val="Arial"/>
            <family val="2"/>
          </rPr>
          <t xml:space="preserve">Est. Margin % = (Ask Price - Unit Cost) / Ask Price - margin on the sale price, not markup on cost.
It turns red below 15% and green at 35% or better. Those two thresholds are a starting rule of thumb for card show pricing, not a rule - change them under Conditional Formatting.</t>
        </r>
      </text>
    </comment>
  </commentList>
</comments>
</file>

<file path=xl/comments4.xml><?xml version="1.0" encoding="utf-8"?>
<comments xmlns="http://schemas.openxmlformats.org/spreadsheetml/2006/main" xmlns:xdr="http://schemas.openxmlformats.org/drawingml/2006/spreadsheetDrawing">
  <authors>
    <author>Vendly TCG</author>
  </authors>
  <commentList>
    <comment ref="A1" authorId="0">
      <text>
        <r>
          <rPr>
            <sz val="10"/>
            <rFont val="Arial"/>
            <family val="2"/>
          </rPr>
          <t xml:space="preserve">Gross Sales, COGS and Fees are pulled from the Sales Log by matching this Show Name against the 'Show / Event' column there. The text must match exactly - use the dropdown-free copy/paste habit or keep names short.
Break-even Gross = Total Costs / (1 - COGS ratio). Until a show has sales logged there is no COGS ratio yet, so it falls back to Total Costs.</t>
        </r>
      </text>
    </comment>
  </commentList>
</comments>
</file>

<file path=xl/sharedStrings.xml><?xml version="1.0" encoding="utf-8"?>
<sst xmlns="http://schemas.openxmlformats.org/spreadsheetml/2006/main" count="201" uniqueCount="171">
  <si>
    <t xml:space="preserve">VENDLY TCG - VENDOR INVENTORY &amp; SALES TRACKER</t>
  </si>
  <si>
    <t xml:space="preserve">Learn to vend. Tools to profit.  -  vendlytcg.com</t>
  </si>
  <si>
    <t xml:space="preserve">WHAT THIS IS</t>
  </si>
  <si>
    <t xml:space="preserve">A cost-basis inventory book and sales ledger for card show vendors. Log what you bought and what it cost, log what you sold it for, and the sheet tells you what you actually made - per card, per channel, and per show.</t>
  </si>
  <si>
    <t xml:space="preserve">THE 4 TABS YOU USE</t>
  </si>
  <si>
    <t xml:space="preserve">1. Inventory</t>
  </si>
  <si>
    <t xml:space="preserve">Every item you own. Type the cost you paid. Total Cost, Est. Profit and Est. Margin calculate themselves.</t>
  </si>
  <si>
    <t xml:space="preserve">2. Sales Log</t>
  </si>
  <si>
    <t xml:space="preserve">Every sale. Type the Item ID from Inventory and the sheet pulls the name and your cost basis automatically, then computes profit after fees and shipping.</t>
  </si>
  <si>
    <t xml:space="preserve">3. Show P&amp;L</t>
  </si>
  <si>
    <t xml:space="preserve">One row per show. Enter the table fee and travel; gross sales and COGS are pulled from the Sales Log by matching the Show / Event name.</t>
  </si>
  <si>
    <t xml:space="preserve">4. Dashboard</t>
  </si>
  <si>
    <t xml:space="preserve">Read-only summary. Inventory value, gross, COGS, fees, net profit, blended margin, and a profit breakdown by channel.</t>
  </si>
  <si>
    <t xml:space="preserve">HOW TO START</t>
  </si>
  <si>
    <t xml:space="preserve">Step 1</t>
  </si>
  <si>
    <t xml:space="preserve">Delete the yellow EXAMPLE row on Inventory, Sales Log and Show P&amp;L. They are there to show you the expected format - they are counted in the totals until you remove them.</t>
  </si>
  <si>
    <t xml:space="preserve">Step 2</t>
  </si>
  <si>
    <t xml:space="preserve">Give every item a unique Item ID (any format - INV-001, PSA-Charizard, whatever). The Sales Log matches on this exact value, so keep it consistent.</t>
  </si>
  <si>
    <t xml:space="preserve">Step 3</t>
  </si>
  <si>
    <t xml:space="preserve">Fill Inventory as you buy. Fill Sales Log as you sell. Never retype a cost - the Sales Log looks it up.</t>
  </si>
  <si>
    <t xml:space="preserve">COLOR LEGEND</t>
  </si>
  <si>
    <t xml:space="preserve">Yellow cells</t>
  </si>
  <si>
    <t xml:space="preserve">You type here. These are your inputs.</t>
  </si>
  <si>
    <t xml:space="preserve">White cells with borders</t>
  </si>
  <si>
    <t xml:space="preserve">You type here too - normal input rows.</t>
  </si>
  <si>
    <t xml:space="preserve">Grey / bordered totals</t>
  </si>
  <si>
    <t xml:space="preserve">Formulas. Do not overwrite them or the math breaks.</t>
  </si>
  <si>
    <t xml:space="preserve">Orange bars</t>
  </si>
  <si>
    <t xml:space="preserve">Sheet titles.</t>
  </si>
  <si>
    <t xml:space="preserve">HOW THE MATH WORKS</t>
  </si>
  <si>
    <t xml:space="preserve">Total Cost</t>
  </si>
  <si>
    <t xml:space="preserve">Qty x Unit Cost.</t>
  </si>
  <si>
    <t xml:space="preserve">Est. Margin %</t>
  </si>
  <si>
    <t xml:space="preserve">(Ask Price - Unit Cost) / Ask Price. Margin on the sale price, not markup on cost.</t>
  </si>
  <si>
    <t xml:space="preserve">Gross (Sales Log)</t>
  </si>
  <si>
    <t xml:space="preserve">Qty Sold x Sale Price each.</t>
  </si>
  <si>
    <t xml:space="preserve">Net Proceeds</t>
  </si>
  <si>
    <t xml:space="preserve">Gross - Fees - Shipping. What actually lands in your pocket.</t>
  </si>
  <si>
    <t xml:space="preserve">Profit</t>
  </si>
  <si>
    <t xml:space="preserve">Net Proceeds - COGS.</t>
  </si>
  <si>
    <t xml:space="preserve">Margin %</t>
  </si>
  <si>
    <t xml:space="preserve">Profit / Gross.</t>
  </si>
  <si>
    <t xml:space="preserve">Show Net Profit</t>
  </si>
  <si>
    <t xml:space="preserve">Gross Sales - COGS - Fees - Total Show Costs.</t>
  </si>
  <si>
    <t xml:space="preserve">Break-even Gross</t>
  </si>
  <si>
    <t xml:space="preserve">The gross sales a show needs just to cover its costs, given the COGS ratio you actually ran. Falls back to Total Costs until that show has sales logged.</t>
  </si>
  <si>
    <t xml:space="preserve">CAPACITY</t>
  </si>
  <si>
    <t xml:space="preserve">Inventory holds 250 rows, Sales Log 500, Show P&amp;L 50. To add more, select the last data row, copy it, and paste down - the formulas carry.</t>
  </si>
  <si>
    <t xml:space="preserve">A NOTE ON TAXES</t>
  </si>
  <si>
    <t xml:space="preserve">This tracker is a record-keeping tool, not tax advice. Cost basis and sales records are what your accountant will ask for. California vendors: see the CDTFA section in the Your First Vendor Table guide at vendlytcg.com/guides/first-vendor-table.</t>
  </si>
  <si>
    <t xml:space="preserve">VERSION</t>
  </si>
  <si>
    <t xml:space="preserve">v1.0</t>
  </si>
  <si>
    <t xml:space="preserve">INVENTORY  -  what you own and what it cost you</t>
  </si>
  <si>
    <t xml:space="preserve">Item ID</t>
  </si>
  <si>
    <t xml:space="preserve">Item Name</t>
  </si>
  <si>
    <t xml:space="preserve">Category</t>
  </si>
  <si>
    <t xml:space="preserve">Set / Series</t>
  </si>
  <si>
    <t xml:space="preserve">Condition / Grade</t>
  </si>
  <si>
    <t xml:space="preserve">Qty</t>
  </si>
  <si>
    <t xml:space="preserve">Unit Cost</t>
  </si>
  <si>
    <t xml:space="preserve">Market Comp (ea)</t>
  </si>
  <si>
    <t xml:space="preserve">Ask Price (ea)</t>
  </si>
  <si>
    <t xml:space="preserve">Est. Profit (ea)</t>
  </si>
  <si>
    <t xml:space="preserve">Status</t>
  </si>
  <si>
    <t xml:space="preserve">Location / Bin</t>
  </si>
  <si>
    <t xml:space="preserve">Date Acquired</t>
  </si>
  <si>
    <t xml:space="preserve">Source</t>
  </si>
  <si>
    <t xml:space="preserve">Notes</t>
  </si>
  <si>
    <t xml:space="preserve">INV-001</t>
  </si>
  <si>
    <t xml:space="preserve">Prismatic Evolutions Elite Trainer Box</t>
  </si>
  <si>
    <t xml:space="preserve">Elite Trainer Box</t>
  </si>
  <si>
    <t xml:space="preserve">Prismatic Evolutions</t>
  </si>
  <si>
    <t xml:space="preserve">Sealed</t>
  </si>
  <si>
    <t xml:space="preserve">In Stock</t>
  </si>
  <si>
    <t xml:space="preserve">Bin A</t>
  </si>
  <si>
    <t xml:space="preserve">Local pickup</t>
  </si>
  <si>
    <t xml:space="preserve">EXAMPLE ROW - delete before you start</t>
  </si>
  <si>
    <t xml:space="preserve">SALES LOG  -  what you sold and what you actually kept</t>
  </si>
  <si>
    <t xml:space="preserve">Sale Date</t>
  </si>
  <si>
    <t xml:space="preserve">Item Name (auto)</t>
  </si>
  <si>
    <t xml:space="preserve">Qty Sold</t>
  </si>
  <si>
    <t xml:space="preserve">Sale Price (ea)</t>
  </si>
  <si>
    <t xml:space="preserve">Gross</t>
  </si>
  <si>
    <t xml:space="preserve">Unit Cost (auto)</t>
  </si>
  <si>
    <t xml:space="preserve">COGS</t>
  </si>
  <si>
    <t xml:space="preserve">Fees</t>
  </si>
  <si>
    <t xml:space="preserve">Shipping</t>
  </si>
  <si>
    <t xml:space="preserve">Channel</t>
  </si>
  <si>
    <t xml:space="preserve">Show / Event</t>
  </si>
  <si>
    <t xml:space="preserve">Payment Method</t>
  </si>
  <si>
    <t xml:space="preserve">Buyer / Notes</t>
  </si>
  <si>
    <t xml:space="preserve">Card Show</t>
  </si>
  <si>
    <t xml:space="preserve">Inland Empire Card Show</t>
  </si>
  <si>
    <t xml:space="preserve">Cash</t>
  </si>
  <si>
    <t xml:space="preserve">SHOW P&amp;L  -  did that table actually pay for itself?</t>
  </si>
  <si>
    <t xml:space="preserve">Show Name</t>
  </si>
  <si>
    <t xml:space="preserve">Date</t>
  </si>
  <si>
    <t xml:space="preserve">City</t>
  </si>
  <si>
    <t xml:space="preserve">Table Fee</t>
  </si>
  <si>
    <t xml:space="preserve">Travel / Gas</t>
  </si>
  <si>
    <t xml:space="preserve">Food / Lodging</t>
  </si>
  <si>
    <t xml:space="preserve">Other Costs</t>
  </si>
  <si>
    <t xml:space="preserve">Total Costs</t>
  </si>
  <si>
    <t xml:space="preserve">Gross Sales (auto)</t>
  </si>
  <si>
    <t xml:space="preserve">COGS (auto)</t>
  </si>
  <si>
    <t xml:space="preserve">Fees (auto)</t>
  </si>
  <si>
    <t xml:space="preserve">Net Profit</t>
  </si>
  <si>
    <t xml:space="preserve">Ontario, CA</t>
  </si>
  <si>
    <t xml:space="preserve">DASHBOARD  -  read only, everything here calculates itself</t>
  </si>
  <si>
    <t xml:space="preserve">INVENTORY ON HAND</t>
  </si>
  <si>
    <t xml:space="preserve">PROFIT BY CHANNEL</t>
  </si>
  <si>
    <t xml:space="preserve">Line items</t>
  </si>
  <si>
    <t xml:space="preserve">Total units</t>
  </si>
  <si>
    <t xml:space="preserve">Inventory at cost</t>
  </si>
  <si>
    <t xml:space="preserve">Inventory at ask price</t>
  </si>
  <si>
    <t xml:space="preserve">Unrealized profit at ask</t>
  </si>
  <si>
    <t xml:space="preserve">Unrealized margin</t>
  </si>
  <si>
    <t xml:space="preserve">SALES TO DATE</t>
  </si>
  <si>
    <t xml:space="preserve">Sales logged</t>
  </si>
  <si>
    <t xml:space="preserve">TOTAL</t>
  </si>
  <si>
    <t xml:space="preserve">Units sold</t>
  </si>
  <si>
    <t xml:space="preserve">Gross sales</t>
  </si>
  <si>
    <t xml:space="preserve">Channel names come from the Lists tab - edit them there and this table follows.</t>
  </si>
  <si>
    <t xml:space="preserve">Cost of goods sold</t>
  </si>
  <si>
    <t xml:space="preserve">Marketplace fees</t>
  </si>
  <si>
    <t xml:space="preserve">Shipping paid</t>
  </si>
  <si>
    <t xml:space="preserve">Net profit</t>
  </si>
  <si>
    <t xml:space="preserve">Blended margin</t>
  </si>
  <si>
    <t xml:space="preserve">Avg profit per sale</t>
  </si>
  <si>
    <t xml:space="preserve">SHOWS</t>
  </si>
  <si>
    <t xml:space="preserve">Shows logged</t>
  </si>
  <si>
    <t xml:space="preserve">Total show costs</t>
  </si>
  <si>
    <t xml:space="preserve">Net profit after show costs</t>
  </si>
  <si>
    <t xml:space="preserve">DROPDOWN LISTS  -  edit these to match how you actually sell</t>
  </si>
  <si>
    <t xml:space="preserve">Sealed Box</t>
  </si>
  <si>
    <t xml:space="preserve">NM</t>
  </si>
  <si>
    <t xml:space="preserve">Listed Online</t>
  </si>
  <si>
    <t xml:space="preserve">TCGPlayer</t>
  </si>
  <si>
    <t xml:space="preserve">Zelle</t>
  </si>
  <si>
    <t xml:space="preserve">Booster Bundle</t>
  </si>
  <si>
    <t xml:space="preserve">LP</t>
  </si>
  <si>
    <t xml:space="preserve">At Show</t>
  </si>
  <si>
    <t xml:space="preserve">eBay</t>
  </si>
  <si>
    <t xml:space="preserve">Venmo</t>
  </si>
  <si>
    <t xml:space="preserve">Booster Pack</t>
  </si>
  <si>
    <t xml:space="preserve">MP</t>
  </si>
  <si>
    <t xml:space="preserve">Sold</t>
  </si>
  <si>
    <t xml:space="preserve">Whatnot</t>
  </si>
  <si>
    <t xml:space="preserve">PayPal</t>
  </si>
  <si>
    <t xml:space="preserve">Tin / Collection</t>
  </si>
  <si>
    <t xml:space="preserve">HP</t>
  </si>
  <si>
    <t xml:space="preserve">Reserved</t>
  </si>
  <si>
    <t xml:space="preserve">Facebook</t>
  </si>
  <si>
    <t xml:space="preserve">Card / Square</t>
  </si>
  <si>
    <t xml:space="preserve">Raw Single</t>
  </si>
  <si>
    <t xml:space="preserve">DMG</t>
  </si>
  <si>
    <t xml:space="preserve">Returned</t>
  </si>
  <si>
    <t xml:space="preserve">Local / Cash</t>
  </si>
  <si>
    <t xml:space="preserve">Other</t>
  </si>
  <si>
    <t xml:space="preserve">Graded Single</t>
  </si>
  <si>
    <t xml:space="preserve">PSA 10</t>
  </si>
  <si>
    <t xml:space="preserve">Grading - Pending</t>
  </si>
  <si>
    <t xml:space="preserve">Supplies</t>
  </si>
  <si>
    <t xml:space="preserve">PSA 9</t>
  </si>
  <si>
    <t xml:space="preserve">Lot / Bulk</t>
  </si>
  <si>
    <t xml:space="preserve">PSA 8</t>
  </si>
  <si>
    <t xml:space="preserve">BGS 9.5</t>
  </si>
  <si>
    <t xml:space="preserve">BGS 9</t>
  </si>
  <si>
    <t xml:space="preserve">CGC 10</t>
  </si>
  <si>
    <t xml:space="preserve">CGC 9.5</t>
  </si>
  <si>
    <t xml:space="preserve">Raw - Ungraded</t>
  </si>
</sst>
</file>

<file path=xl/styles.xml><?xml version="1.0" encoding="utf-8"?>
<styleSheet xmlns="http://schemas.openxmlformats.org/spreadsheetml/2006/main">
  <numFmts count="5">
    <numFmt numFmtId="164" formatCode="General"/>
    <numFmt numFmtId="165" formatCode="#,##0"/>
    <numFmt numFmtId="166" formatCode="\$#,##0.00"/>
    <numFmt numFmtId="167" formatCode="0.0%"/>
    <numFmt numFmtId="168" formatCode="yyyy\-mm\-dd"/>
  </numFmts>
  <fonts count="16">
    <font>
      <sz val="11"/>
      <color theme="1"/>
      <name val="Calibri"/>
      <family val="2"/>
      <charset val="1"/>
    </font>
    <font>
      <sz val="10"/>
      <name val="Arial"/>
      <family val="0"/>
    </font>
    <font>
      <sz val="10"/>
      <name val="Arial"/>
      <family val="0"/>
    </font>
    <font>
      <sz val="10"/>
      <name val="Arial"/>
      <family val="0"/>
    </font>
    <font>
      <b val="true"/>
      <sz val="18"/>
      <color rgb="FFF5F4EF"/>
      <name val="Arial"/>
      <family val="0"/>
      <charset val="1"/>
    </font>
    <font>
      <i val="true"/>
      <sz val="10"/>
      <color rgb="FF5F5B55"/>
      <name val="Arial"/>
      <family val="0"/>
      <charset val="1"/>
    </font>
    <font>
      <b val="true"/>
      <sz val="10"/>
      <color rgb="FF1A1917"/>
      <name val="Arial"/>
      <family val="0"/>
      <charset val="1"/>
    </font>
    <font>
      <sz val="10"/>
      <color rgb="FF1A1917"/>
      <name val="Arial"/>
      <family val="0"/>
      <charset val="1"/>
    </font>
    <font>
      <b val="true"/>
      <sz val="10"/>
      <color rgb="FFD9764F"/>
      <name val="Arial"/>
      <family val="0"/>
      <charset val="1"/>
    </font>
    <font>
      <b val="true"/>
      <sz val="14"/>
      <color rgb="FFF5F4EF"/>
      <name val="Arial"/>
      <family val="0"/>
      <charset val="1"/>
    </font>
    <font>
      <b val="true"/>
      <sz val="10"/>
      <color rgb="FFF5F4EF"/>
      <name val="Arial"/>
      <family val="0"/>
      <charset val="1"/>
    </font>
    <font>
      <i val="true"/>
      <sz val="10"/>
      <color rgb="FF7A6A2E"/>
      <name val="Arial"/>
      <family val="0"/>
      <charset val="1"/>
    </font>
    <font>
      <sz val="10"/>
      <name val="Arial"/>
      <family val="0"/>
      <charset val="1"/>
    </font>
    <font>
      <sz val="10"/>
      <name val="Arial"/>
      <family val="2"/>
    </font>
    <font>
      <b val="true"/>
      <sz val="10"/>
      <name val="Arial"/>
      <family val="0"/>
      <charset val="1"/>
    </font>
    <font>
      <i val="true"/>
      <sz val="9"/>
      <color rgb="FF5F5B55"/>
      <name val="Arial"/>
      <family val="0"/>
      <charset val="1"/>
    </font>
  </fonts>
  <fills count="6">
    <fill>
      <patternFill patternType="none"/>
    </fill>
    <fill>
      <patternFill patternType="gray125"/>
    </fill>
    <fill>
      <patternFill patternType="solid">
        <fgColor rgb="FFD9764F"/>
        <bgColor rgb="FFFF6600"/>
      </patternFill>
    </fill>
    <fill>
      <patternFill patternType="solid">
        <fgColor rgb="FF1F1E1D"/>
        <bgColor rgb="FF1A1917"/>
      </patternFill>
    </fill>
    <fill>
      <patternFill patternType="solid">
        <fgColor rgb="FFFFF4CC"/>
        <bgColor rgb="FFF7F5F0"/>
      </patternFill>
    </fill>
    <fill>
      <patternFill patternType="solid">
        <fgColor rgb="FFF7F5F0"/>
        <bgColor rgb="FFF5F4EF"/>
      </patternFill>
    </fill>
  </fills>
  <borders count="2">
    <border diagonalUp="false" diagonalDown="false">
      <left/>
      <right/>
      <top/>
      <bottom/>
      <diagonal/>
    </border>
    <border diagonalUp="false" diagonalDown="false">
      <left style="thin">
        <color rgb="FFD9D6CC"/>
      </left>
      <right style="thin">
        <color rgb="FFD9D6CC"/>
      </right>
      <top style="thin">
        <color rgb="FFD9D6CC"/>
      </top>
      <bottom style="thin">
        <color rgb="FFD9D6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bottom" textRotation="0" wrapText="false" indent="1"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center" textRotation="0" wrapText="false" indent="1" shrinkToFit="false"/>
      <protection locked="true" hidden="false"/>
    </xf>
    <xf numFmtId="165" fontId="14" fillId="0" borderId="1" xfId="0" applyFont="true" applyBorder="true" applyAlignment="true" applyProtection="false">
      <alignment horizontal="right"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true" applyProtection="false">
      <alignment horizontal="right" vertical="bottom" textRotation="0" wrapText="false" indent="0" shrinkToFit="false"/>
      <protection locked="true" hidden="false"/>
    </xf>
    <xf numFmtId="167" fontId="14" fillId="0" borderId="1" xfId="0" applyFont="true" applyBorder="true" applyAlignment="true" applyProtection="false">
      <alignment horizontal="right"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6" fontId="14" fillId="5" borderId="1" xfId="0" applyFont="true" applyBorder="true" applyAlignment="false" applyProtection="false">
      <alignment horizontal="general" vertical="bottom" textRotation="0" wrapText="false" indent="0" shrinkToFit="false"/>
      <protection locked="true" hidden="false"/>
    </xf>
    <xf numFmtId="167" fontId="14" fillId="5"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1E1D"/>
          <bgColor rgb="FF000000"/>
        </patternFill>
      </fill>
    </dxf>
    <dxf>
      <fill>
        <patternFill patternType="solid">
          <fgColor rgb="FFFFF4CC"/>
          <bgColor rgb="FF000000"/>
        </patternFill>
      </fill>
    </dxf>
    <dxf>
      <fill>
        <patternFill patternType="solid">
          <bgColor rgb="FF000000"/>
        </patternFill>
      </fill>
    </dxf>
    <dxf>
      <fill>
        <patternFill patternType="solid">
          <fgColor rgb="FF7A6A2E"/>
          <bgColor rgb="FF000000"/>
        </patternFill>
      </fill>
    </dxf>
    <dxf>
      <fill>
        <patternFill patternType="solid">
          <fgColor rgb="FFF5F4EF"/>
          <bgColor rgb="FF000000"/>
        </patternFill>
      </fill>
    </dxf>
    <dxf>
      <font>
        <name val="Arial"/>
        <charset val="1"/>
        <family val="0"/>
        <b val="1"/>
        <color rgb="FFB03A2E"/>
        <sz val="10"/>
      </font>
    </dxf>
    <dxf>
      <font>
        <name val="Arial"/>
        <charset val="1"/>
        <family val="0"/>
        <b val="1"/>
        <color rgb="FF1E7A3C"/>
        <sz val="10"/>
      </font>
    </dxf>
    <dxf>
      <fill>
        <patternFill patternType="solid">
          <fgColor rgb="FF1E7A3C"/>
          <bgColor rgb="FF000000"/>
        </patternFill>
      </fill>
    </dxf>
  </dxfs>
  <colors>
    <indexedColors>
      <rgbColor rgb="FF000000"/>
      <rgbColor rgb="FFF7F5F0"/>
      <rgbColor rgb="FFFF0000"/>
      <rgbColor rgb="FF00FF00"/>
      <rgbColor rgb="FF0000FF"/>
      <rgbColor rgb="FFFFFF00"/>
      <rgbColor rgb="FFFF00FF"/>
      <rgbColor rgb="FF00FFFF"/>
      <rgbColor rgb="FF800000"/>
      <rgbColor rgb="FF1E7A3C"/>
      <rgbColor rgb="FF000080"/>
      <rgbColor rgb="FF7A6A2E"/>
      <rgbColor rgb="FF800080"/>
      <rgbColor rgb="FF008080"/>
      <rgbColor rgb="FFC0C0C0"/>
      <rgbColor rgb="FF808080"/>
      <rgbColor rgb="FF9999FF"/>
      <rgbColor rgb="FF993366"/>
      <rgbColor rgb="FFFFF4CC"/>
      <rgbColor rgb="FFF5F4EF"/>
      <rgbColor rgb="FF660066"/>
      <rgbColor rgb="FFD9764F"/>
      <rgbColor rgb="FF0066CC"/>
      <rgbColor rgb="FFD9D6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5B55"/>
      <rgbColor rgb="FF9A9891"/>
      <rgbColor rgb="FF003366"/>
      <rgbColor rgb="FF339966"/>
      <rgbColor rgb="FF003300"/>
      <rgbColor rgb="FF1A1917"/>
      <rgbColor rgb="FFB03A2E"/>
      <rgbColor rgb="FF993366"/>
      <rgbColor rgb="FF333399"/>
      <rgbColor rgb="FF1F1E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64F"/>
    <pageSetUpPr fitToPage="false"/>
  </sheetPr>
  <dimension ref="B2:C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82"/>
  </cols>
  <sheetData>
    <row r="2" customFormat="false" ht="33.75" hidden="false" customHeight="true" outlineLevel="0" collapsed="false">
      <c r="B2" s="1" t="s">
        <v>0</v>
      </c>
      <c r="C2" s="1"/>
    </row>
    <row r="3" customFormat="false" ht="15" hidden="false" customHeight="false" outlineLevel="0" collapsed="false">
      <c r="B3" s="2" t="s">
        <v>1</v>
      </c>
      <c r="C3" s="2"/>
    </row>
    <row r="5" customFormat="false" ht="36" hidden="false" customHeight="true" outlineLevel="0" collapsed="false">
      <c r="B5" s="3" t="s">
        <v>2</v>
      </c>
      <c r="C5" s="4" t="s">
        <v>3</v>
      </c>
    </row>
    <row r="7" customFormat="false" ht="15" hidden="false" customHeight="false" outlineLevel="0" collapsed="false">
      <c r="B7" s="5" t="s">
        <v>4</v>
      </c>
    </row>
    <row r="8" customFormat="false" ht="24" hidden="false" customHeight="true" outlineLevel="0" collapsed="false">
      <c r="B8" s="3" t="s">
        <v>5</v>
      </c>
      <c r="C8" s="4" t="s">
        <v>6</v>
      </c>
    </row>
    <row r="9" customFormat="false" ht="24" hidden="false" customHeight="true" outlineLevel="0" collapsed="false">
      <c r="B9" s="3" t="s">
        <v>7</v>
      </c>
      <c r="C9" s="4" t="s">
        <v>8</v>
      </c>
    </row>
    <row r="10" customFormat="false" ht="24" hidden="false" customHeight="true" outlineLevel="0" collapsed="false">
      <c r="B10" s="3" t="s">
        <v>9</v>
      </c>
      <c r="C10" s="4" t="s">
        <v>10</v>
      </c>
    </row>
    <row r="11" customFormat="false" ht="24" hidden="false" customHeight="true" outlineLevel="0" collapsed="false">
      <c r="B11" s="3" t="s">
        <v>11</v>
      </c>
      <c r="C11" s="4" t="s">
        <v>12</v>
      </c>
    </row>
    <row r="13" customFormat="false" ht="15" hidden="false" customHeight="false" outlineLevel="0" collapsed="false">
      <c r="B13" s="5" t="s">
        <v>13</v>
      </c>
    </row>
    <row r="14" customFormat="false" ht="24" hidden="false" customHeight="true" outlineLevel="0" collapsed="false">
      <c r="B14" s="3" t="s">
        <v>14</v>
      </c>
      <c r="C14" s="4" t="s">
        <v>15</v>
      </c>
    </row>
    <row r="15" customFormat="false" ht="24" hidden="false" customHeight="true" outlineLevel="0" collapsed="false">
      <c r="B15" s="3" t="s">
        <v>16</v>
      </c>
      <c r="C15" s="4" t="s">
        <v>17</v>
      </c>
    </row>
    <row r="16" customFormat="false" ht="24" hidden="false" customHeight="true" outlineLevel="0" collapsed="false">
      <c r="B16" s="3" t="s">
        <v>18</v>
      </c>
      <c r="C16" s="4" t="s">
        <v>19</v>
      </c>
    </row>
    <row r="18" customFormat="false" ht="15" hidden="false" customHeight="false" outlineLevel="0" collapsed="false">
      <c r="B18" s="5" t="s">
        <v>20</v>
      </c>
    </row>
    <row r="19" customFormat="false" ht="13.5" hidden="false" customHeight="true" outlineLevel="0" collapsed="false">
      <c r="B19" s="3" t="s">
        <v>21</v>
      </c>
      <c r="C19" s="4" t="s">
        <v>22</v>
      </c>
    </row>
    <row r="20" customFormat="false" ht="13.5" hidden="false" customHeight="true" outlineLevel="0" collapsed="false">
      <c r="B20" s="3" t="s">
        <v>23</v>
      </c>
      <c r="C20" s="4" t="s">
        <v>24</v>
      </c>
    </row>
    <row r="21" customFormat="false" ht="13.5" hidden="false" customHeight="true" outlineLevel="0" collapsed="false">
      <c r="B21" s="3" t="s">
        <v>25</v>
      </c>
      <c r="C21" s="4" t="s">
        <v>26</v>
      </c>
    </row>
    <row r="22" customFormat="false" ht="13.5" hidden="false" customHeight="true" outlineLevel="0" collapsed="false">
      <c r="B22" s="3" t="s">
        <v>27</v>
      </c>
      <c r="C22" s="4" t="s">
        <v>28</v>
      </c>
    </row>
    <row r="24" customFormat="false" ht="15" hidden="false" customHeight="false" outlineLevel="0" collapsed="false">
      <c r="B24" s="5" t="s">
        <v>29</v>
      </c>
    </row>
    <row r="25" customFormat="false" ht="13.5" hidden="false" customHeight="true" outlineLevel="0" collapsed="false">
      <c r="B25" s="3" t="s">
        <v>30</v>
      </c>
      <c r="C25" s="4" t="s">
        <v>31</v>
      </c>
    </row>
    <row r="26" customFormat="false" ht="13.5" hidden="false" customHeight="true" outlineLevel="0" collapsed="false">
      <c r="B26" s="3" t="s">
        <v>32</v>
      </c>
      <c r="C26" s="4" t="s">
        <v>33</v>
      </c>
    </row>
    <row r="27" customFormat="false" ht="13.5" hidden="false" customHeight="true" outlineLevel="0" collapsed="false">
      <c r="B27" s="3" t="s">
        <v>34</v>
      </c>
      <c r="C27" s="4" t="s">
        <v>35</v>
      </c>
    </row>
    <row r="28" customFormat="false" ht="13.5" hidden="false" customHeight="true" outlineLevel="0" collapsed="false">
      <c r="B28" s="3" t="s">
        <v>36</v>
      </c>
      <c r="C28" s="4" t="s">
        <v>37</v>
      </c>
    </row>
    <row r="29" customFormat="false" ht="13.5" hidden="false" customHeight="true" outlineLevel="0" collapsed="false">
      <c r="B29" s="3" t="s">
        <v>38</v>
      </c>
      <c r="C29" s="4" t="s">
        <v>39</v>
      </c>
    </row>
    <row r="30" customFormat="false" ht="13.5" hidden="false" customHeight="true" outlineLevel="0" collapsed="false">
      <c r="B30" s="3" t="s">
        <v>40</v>
      </c>
      <c r="C30" s="4" t="s">
        <v>41</v>
      </c>
    </row>
    <row r="31" customFormat="false" ht="13.5" hidden="false" customHeight="true" outlineLevel="0" collapsed="false">
      <c r="B31" s="3" t="s">
        <v>42</v>
      </c>
      <c r="C31" s="4" t="s">
        <v>43</v>
      </c>
    </row>
    <row r="32" customFormat="false" ht="24" hidden="false" customHeight="true" outlineLevel="0" collapsed="false">
      <c r="B32" s="3" t="s">
        <v>44</v>
      </c>
      <c r="C32" s="4" t="s">
        <v>45</v>
      </c>
    </row>
    <row r="34" customFormat="false" ht="24" hidden="false" customHeight="true" outlineLevel="0" collapsed="false">
      <c r="B34" s="3" t="s">
        <v>46</v>
      </c>
      <c r="C34" s="4" t="s">
        <v>47</v>
      </c>
    </row>
    <row r="36" customFormat="false" ht="36" hidden="false" customHeight="true" outlineLevel="0" collapsed="false">
      <c r="B36" s="3" t="s">
        <v>48</v>
      </c>
      <c r="C36" s="4" t="s">
        <v>49</v>
      </c>
    </row>
    <row r="38" customFormat="false" ht="13.5" hidden="false" customHeight="true" outlineLevel="0" collapsed="false">
      <c r="B38" s="3" t="s">
        <v>50</v>
      </c>
      <c r="C38" s="4" t="s">
        <v>51</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64F"/>
    <pageSetUpPr fitToPage="false"/>
  </sheetPr>
  <dimension ref="A1:Q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7"/>
    <col collapsed="false" customWidth="true" hidden="false" outlineLevel="0" max="4" min="4" style="0" width="20"/>
    <col collapsed="false" customWidth="true" hidden="false" outlineLevel="0" max="5" min="5" style="0" width="15"/>
    <col collapsed="false" customWidth="true" hidden="false" outlineLevel="0" max="6" min="6" style="0" width="7"/>
    <col collapsed="false" customWidth="true" hidden="false" outlineLevel="0" max="7" min="7" style="0" width="11"/>
    <col collapsed="false" customWidth="true" hidden="false" outlineLevel="0" max="8" min="8" style="0" width="12"/>
    <col collapsed="false" customWidth="true" hidden="false" outlineLevel="0" max="9" min="9" style="0" width="14"/>
    <col collapsed="false" customWidth="true" hidden="false" outlineLevel="0" max="11" min="10" style="0" width="13"/>
    <col collapsed="false" customWidth="true" hidden="false" outlineLevel="0" max="12" min="12" style="0" width="12"/>
    <col collapsed="false" customWidth="true" hidden="false" outlineLevel="0" max="13" min="13" style="0" width="15"/>
    <col collapsed="false" customWidth="true" hidden="false" outlineLevel="0" max="15" min="14" style="0" width="13"/>
    <col collapsed="false" customWidth="true" hidden="false" outlineLevel="0" max="16" min="16" style="0" width="16"/>
    <col collapsed="false" customWidth="true" hidden="false" outlineLevel="0" max="17" min="17" style="0" width="30"/>
  </cols>
  <sheetData>
    <row r="1" customFormat="false" ht="25.5" hidden="false" customHeight="true" outlineLevel="0" collapsed="false">
      <c r="A1" s="6" t="s">
        <v>52</v>
      </c>
      <c r="B1" s="6"/>
      <c r="C1" s="6"/>
      <c r="D1" s="6"/>
      <c r="E1" s="6"/>
      <c r="F1" s="6"/>
      <c r="G1" s="6"/>
      <c r="H1" s="6"/>
      <c r="I1" s="6"/>
      <c r="J1" s="6"/>
      <c r="K1" s="6"/>
      <c r="L1" s="6"/>
      <c r="M1" s="6"/>
      <c r="N1" s="6"/>
      <c r="O1" s="6"/>
      <c r="P1" s="6"/>
      <c r="Q1" s="6"/>
    </row>
    <row r="2" customFormat="false" ht="31.5" hidden="false" customHeight="true" outlineLevel="0" collapsed="false">
      <c r="A2" s="7" t="s">
        <v>53</v>
      </c>
      <c r="B2" s="7" t="s">
        <v>54</v>
      </c>
      <c r="C2" s="7" t="s">
        <v>55</v>
      </c>
      <c r="D2" s="7" t="s">
        <v>56</v>
      </c>
      <c r="E2" s="7" t="s">
        <v>57</v>
      </c>
      <c r="F2" s="7" t="s">
        <v>58</v>
      </c>
      <c r="G2" s="7" t="s">
        <v>59</v>
      </c>
      <c r="H2" s="7" t="s">
        <v>30</v>
      </c>
      <c r="I2" s="7" t="s">
        <v>60</v>
      </c>
      <c r="J2" s="7" t="s">
        <v>61</v>
      </c>
      <c r="K2" s="7" t="s">
        <v>62</v>
      </c>
      <c r="L2" s="7" t="s">
        <v>32</v>
      </c>
      <c r="M2" s="7" t="s">
        <v>63</v>
      </c>
      <c r="N2" s="7" t="s">
        <v>64</v>
      </c>
      <c r="O2" s="7" t="s">
        <v>65</v>
      </c>
      <c r="P2" s="7" t="s">
        <v>66</v>
      </c>
      <c r="Q2" s="7" t="s">
        <v>67</v>
      </c>
    </row>
    <row r="3" customFormat="false" ht="15" hidden="false" customHeight="false" outlineLevel="0" collapsed="false">
      <c r="A3" s="8" t="s">
        <v>68</v>
      </c>
      <c r="B3" s="8" t="s">
        <v>69</v>
      </c>
      <c r="C3" s="8" t="s">
        <v>70</v>
      </c>
      <c r="D3" s="8" t="s">
        <v>71</v>
      </c>
      <c r="E3" s="8" t="s">
        <v>72</v>
      </c>
      <c r="F3" s="9" t="n">
        <v>2</v>
      </c>
      <c r="G3" s="10" t="n">
        <v>42</v>
      </c>
      <c r="H3" s="11" t="n">
        <f aca="false">IF($F3="","",$F3*$G3)</f>
        <v>84</v>
      </c>
      <c r="I3" s="10" t="n">
        <v>68</v>
      </c>
      <c r="J3" s="10" t="n">
        <v>64</v>
      </c>
      <c r="K3" s="11" t="n">
        <f aca="false">IF(OR($J3="",$G3=""),"",$J3-$G3)</f>
        <v>22</v>
      </c>
      <c r="L3" s="12" t="n">
        <f aca="false">IF(OR($J3="",$J3=0),"",($J3-$G3)/$J3)</f>
        <v>0.34375</v>
      </c>
      <c r="M3" s="8" t="s">
        <v>73</v>
      </c>
      <c r="N3" s="8" t="s">
        <v>74</v>
      </c>
      <c r="O3" s="13" t="n">
        <v>46215</v>
      </c>
      <c r="P3" s="8" t="s">
        <v>75</v>
      </c>
      <c r="Q3" s="8" t="s">
        <v>76</v>
      </c>
    </row>
    <row r="4" customFormat="false" ht="15" hidden="false" customHeight="false" outlineLevel="0" collapsed="false">
      <c r="A4" s="14"/>
      <c r="B4" s="14"/>
      <c r="C4" s="14"/>
      <c r="D4" s="14"/>
      <c r="E4" s="14"/>
      <c r="F4" s="15"/>
      <c r="G4" s="11"/>
      <c r="H4" s="11" t="str">
        <f aca="false">IF($F4="","",$F4*$G4)</f>
        <v/>
      </c>
      <c r="I4" s="11"/>
      <c r="J4" s="11"/>
      <c r="K4" s="11" t="str">
        <f aca="false">IF(OR($J4="",$G4=""),"",$J4-$G4)</f>
        <v/>
      </c>
      <c r="L4" s="12" t="str">
        <f aca="false">IF(OR($J4="",$J4=0),"",($J4-$G4)/$J4)</f>
        <v/>
      </c>
      <c r="M4" s="14"/>
      <c r="N4" s="14"/>
      <c r="O4" s="16"/>
      <c r="P4" s="14"/>
      <c r="Q4" s="14"/>
    </row>
    <row r="5" customFormat="false" ht="15" hidden="false" customHeight="false" outlineLevel="0" collapsed="false">
      <c r="A5" s="14"/>
      <c r="B5" s="14"/>
      <c r="C5" s="14"/>
      <c r="D5" s="14"/>
      <c r="E5" s="14"/>
      <c r="F5" s="15"/>
      <c r="G5" s="11"/>
      <c r="H5" s="11" t="str">
        <f aca="false">IF($F5="","",$F5*$G5)</f>
        <v/>
      </c>
      <c r="I5" s="11"/>
      <c r="J5" s="11"/>
      <c r="K5" s="11" t="str">
        <f aca="false">IF(OR($J5="",$G5=""),"",$J5-$G5)</f>
        <v/>
      </c>
      <c r="L5" s="12" t="str">
        <f aca="false">IF(OR($J5="",$J5=0),"",($J5-$G5)/$J5)</f>
        <v/>
      </c>
      <c r="M5" s="14"/>
      <c r="N5" s="14"/>
      <c r="O5" s="16"/>
      <c r="P5" s="14"/>
      <c r="Q5" s="14"/>
    </row>
    <row r="6" customFormat="false" ht="15" hidden="false" customHeight="false" outlineLevel="0" collapsed="false">
      <c r="A6" s="14"/>
      <c r="B6" s="14"/>
      <c r="C6" s="14"/>
      <c r="D6" s="14"/>
      <c r="E6" s="14"/>
      <c r="F6" s="15"/>
      <c r="G6" s="11"/>
      <c r="H6" s="11" t="str">
        <f aca="false">IF($F6="","",$F6*$G6)</f>
        <v/>
      </c>
      <c r="I6" s="11"/>
      <c r="J6" s="11"/>
      <c r="K6" s="11" t="str">
        <f aca="false">IF(OR($J6="",$G6=""),"",$J6-$G6)</f>
        <v/>
      </c>
      <c r="L6" s="12" t="str">
        <f aca="false">IF(OR($J6="",$J6=0),"",($J6-$G6)/$J6)</f>
        <v/>
      </c>
      <c r="M6" s="14"/>
      <c r="N6" s="14"/>
      <c r="O6" s="16"/>
      <c r="P6" s="14"/>
      <c r="Q6" s="14"/>
    </row>
    <row r="7" customFormat="false" ht="15" hidden="false" customHeight="false" outlineLevel="0" collapsed="false">
      <c r="A7" s="14"/>
      <c r="B7" s="14"/>
      <c r="C7" s="14"/>
      <c r="D7" s="14"/>
      <c r="E7" s="14"/>
      <c r="F7" s="15"/>
      <c r="G7" s="11"/>
      <c r="H7" s="11" t="str">
        <f aca="false">IF($F7="","",$F7*$G7)</f>
        <v/>
      </c>
      <c r="I7" s="11"/>
      <c r="J7" s="11"/>
      <c r="K7" s="11" t="str">
        <f aca="false">IF(OR($J7="",$G7=""),"",$J7-$G7)</f>
        <v/>
      </c>
      <c r="L7" s="12" t="str">
        <f aca="false">IF(OR($J7="",$J7=0),"",($J7-$G7)/$J7)</f>
        <v/>
      </c>
      <c r="M7" s="14"/>
      <c r="N7" s="14"/>
      <c r="O7" s="16"/>
      <c r="P7" s="14"/>
      <c r="Q7" s="14"/>
    </row>
    <row r="8" customFormat="false" ht="15" hidden="false" customHeight="false" outlineLevel="0" collapsed="false">
      <c r="A8" s="14"/>
      <c r="B8" s="14"/>
      <c r="C8" s="14"/>
      <c r="D8" s="14"/>
      <c r="E8" s="14"/>
      <c r="F8" s="15"/>
      <c r="G8" s="11"/>
      <c r="H8" s="11" t="str">
        <f aca="false">IF($F8="","",$F8*$G8)</f>
        <v/>
      </c>
      <c r="I8" s="11"/>
      <c r="J8" s="11"/>
      <c r="K8" s="11" t="str">
        <f aca="false">IF(OR($J8="",$G8=""),"",$J8-$G8)</f>
        <v/>
      </c>
      <c r="L8" s="12" t="str">
        <f aca="false">IF(OR($J8="",$J8=0),"",($J8-$G8)/$J8)</f>
        <v/>
      </c>
      <c r="M8" s="14"/>
      <c r="N8" s="14"/>
      <c r="O8" s="16"/>
      <c r="P8" s="14"/>
      <c r="Q8" s="14"/>
    </row>
    <row r="9" customFormat="false" ht="15" hidden="false" customHeight="false" outlineLevel="0" collapsed="false">
      <c r="A9" s="14"/>
      <c r="B9" s="14"/>
      <c r="C9" s="14"/>
      <c r="D9" s="14"/>
      <c r="E9" s="14"/>
      <c r="F9" s="15"/>
      <c r="G9" s="11"/>
      <c r="H9" s="11" t="str">
        <f aca="false">IF($F9="","",$F9*$G9)</f>
        <v/>
      </c>
      <c r="I9" s="11"/>
      <c r="J9" s="11"/>
      <c r="K9" s="11" t="str">
        <f aca="false">IF(OR($J9="",$G9=""),"",$J9-$G9)</f>
        <v/>
      </c>
      <c r="L9" s="12" t="str">
        <f aca="false">IF(OR($J9="",$J9=0),"",($J9-$G9)/$J9)</f>
        <v/>
      </c>
      <c r="M9" s="14"/>
      <c r="N9" s="14"/>
      <c r="O9" s="16"/>
      <c r="P9" s="14"/>
      <c r="Q9" s="14"/>
    </row>
    <row r="10" customFormat="false" ht="15" hidden="false" customHeight="false" outlineLevel="0" collapsed="false">
      <c r="A10" s="14"/>
      <c r="B10" s="14"/>
      <c r="C10" s="14"/>
      <c r="D10" s="14"/>
      <c r="E10" s="14"/>
      <c r="F10" s="15"/>
      <c r="G10" s="11"/>
      <c r="H10" s="11" t="str">
        <f aca="false">IF($F10="","",$F10*$G10)</f>
        <v/>
      </c>
      <c r="I10" s="11"/>
      <c r="J10" s="11"/>
      <c r="K10" s="11" t="str">
        <f aca="false">IF(OR($J10="",$G10=""),"",$J10-$G10)</f>
        <v/>
      </c>
      <c r="L10" s="12" t="str">
        <f aca="false">IF(OR($J10="",$J10=0),"",($J10-$G10)/$J10)</f>
        <v/>
      </c>
      <c r="M10" s="14"/>
      <c r="N10" s="14"/>
      <c r="O10" s="16"/>
      <c r="P10" s="14"/>
      <c r="Q10" s="14"/>
    </row>
    <row r="11" customFormat="false" ht="15" hidden="false" customHeight="false" outlineLevel="0" collapsed="false">
      <c r="A11" s="14"/>
      <c r="B11" s="14"/>
      <c r="C11" s="14"/>
      <c r="D11" s="14"/>
      <c r="E11" s="14"/>
      <c r="F11" s="15"/>
      <c r="G11" s="11"/>
      <c r="H11" s="11" t="str">
        <f aca="false">IF($F11="","",$F11*$G11)</f>
        <v/>
      </c>
      <c r="I11" s="11"/>
      <c r="J11" s="11"/>
      <c r="K11" s="11" t="str">
        <f aca="false">IF(OR($J11="",$G11=""),"",$J11-$G11)</f>
        <v/>
      </c>
      <c r="L11" s="12" t="str">
        <f aca="false">IF(OR($J11="",$J11=0),"",($J11-$G11)/$J11)</f>
        <v/>
      </c>
      <c r="M11" s="14"/>
      <c r="N11" s="14"/>
      <c r="O11" s="16"/>
      <c r="P11" s="14"/>
      <c r="Q11" s="14"/>
    </row>
    <row r="12" customFormat="false" ht="15" hidden="false" customHeight="false" outlineLevel="0" collapsed="false">
      <c r="A12" s="14"/>
      <c r="B12" s="14"/>
      <c r="C12" s="14"/>
      <c r="D12" s="14"/>
      <c r="E12" s="14"/>
      <c r="F12" s="15"/>
      <c r="G12" s="11"/>
      <c r="H12" s="11" t="str">
        <f aca="false">IF($F12="","",$F12*$G12)</f>
        <v/>
      </c>
      <c r="I12" s="11"/>
      <c r="J12" s="11"/>
      <c r="K12" s="11" t="str">
        <f aca="false">IF(OR($J12="",$G12=""),"",$J12-$G12)</f>
        <v/>
      </c>
      <c r="L12" s="12" t="str">
        <f aca="false">IF(OR($J12="",$J12=0),"",($J12-$G12)/$J12)</f>
        <v/>
      </c>
      <c r="M12" s="14"/>
      <c r="N12" s="14"/>
      <c r="O12" s="16"/>
      <c r="P12" s="14"/>
      <c r="Q12" s="14"/>
    </row>
    <row r="13" customFormat="false" ht="15" hidden="false" customHeight="false" outlineLevel="0" collapsed="false">
      <c r="A13" s="14"/>
      <c r="B13" s="14"/>
      <c r="C13" s="14"/>
      <c r="D13" s="14"/>
      <c r="E13" s="14"/>
      <c r="F13" s="15"/>
      <c r="G13" s="11"/>
      <c r="H13" s="11" t="str">
        <f aca="false">IF($F13="","",$F13*$G13)</f>
        <v/>
      </c>
      <c r="I13" s="11"/>
      <c r="J13" s="11"/>
      <c r="K13" s="11" t="str">
        <f aca="false">IF(OR($J13="",$G13=""),"",$J13-$G13)</f>
        <v/>
      </c>
      <c r="L13" s="12" t="str">
        <f aca="false">IF(OR($J13="",$J13=0),"",($J13-$G13)/$J13)</f>
        <v/>
      </c>
      <c r="M13" s="14"/>
      <c r="N13" s="14"/>
      <c r="O13" s="16"/>
      <c r="P13" s="14"/>
      <c r="Q13" s="14"/>
    </row>
    <row r="14" customFormat="false" ht="15" hidden="false" customHeight="false" outlineLevel="0" collapsed="false">
      <c r="A14" s="14"/>
      <c r="B14" s="14"/>
      <c r="C14" s="14"/>
      <c r="D14" s="14"/>
      <c r="E14" s="14"/>
      <c r="F14" s="15"/>
      <c r="G14" s="11"/>
      <c r="H14" s="11" t="str">
        <f aca="false">IF($F14="","",$F14*$G14)</f>
        <v/>
      </c>
      <c r="I14" s="11"/>
      <c r="J14" s="11"/>
      <c r="K14" s="11" t="str">
        <f aca="false">IF(OR($J14="",$G14=""),"",$J14-$G14)</f>
        <v/>
      </c>
      <c r="L14" s="12" t="str">
        <f aca="false">IF(OR($J14="",$J14=0),"",($J14-$G14)/$J14)</f>
        <v/>
      </c>
      <c r="M14" s="14"/>
      <c r="N14" s="14"/>
      <c r="O14" s="16"/>
      <c r="P14" s="14"/>
      <c r="Q14" s="14"/>
    </row>
    <row r="15" customFormat="false" ht="15" hidden="false" customHeight="false" outlineLevel="0" collapsed="false">
      <c r="A15" s="14"/>
      <c r="B15" s="14"/>
      <c r="C15" s="14"/>
      <c r="D15" s="14"/>
      <c r="E15" s="14"/>
      <c r="F15" s="15"/>
      <c r="G15" s="11"/>
      <c r="H15" s="11" t="str">
        <f aca="false">IF($F15="","",$F15*$G15)</f>
        <v/>
      </c>
      <c r="I15" s="11"/>
      <c r="J15" s="11"/>
      <c r="K15" s="11" t="str">
        <f aca="false">IF(OR($J15="",$G15=""),"",$J15-$G15)</f>
        <v/>
      </c>
      <c r="L15" s="12" t="str">
        <f aca="false">IF(OR($J15="",$J15=0),"",($J15-$G15)/$J15)</f>
        <v/>
      </c>
      <c r="M15" s="14"/>
      <c r="N15" s="14"/>
      <c r="O15" s="16"/>
      <c r="P15" s="14"/>
      <c r="Q15" s="14"/>
    </row>
    <row r="16" customFormat="false" ht="15" hidden="false" customHeight="false" outlineLevel="0" collapsed="false">
      <c r="A16" s="14"/>
      <c r="B16" s="14"/>
      <c r="C16" s="14"/>
      <c r="D16" s="14"/>
      <c r="E16" s="14"/>
      <c r="F16" s="15"/>
      <c r="G16" s="11"/>
      <c r="H16" s="11" t="str">
        <f aca="false">IF($F16="","",$F16*$G16)</f>
        <v/>
      </c>
      <c r="I16" s="11"/>
      <c r="J16" s="11"/>
      <c r="K16" s="11" t="str">
        <f aca="false">IF(OR($J16="",$G16=""),"",$J16-$G16)</f>
        <v/>
      </c>
      <c r="L16" s="12" t="str">
        <f aca="false">IF(OR($J16="",$J16=0),"",($J16-$G16)/$J16)</f>
        <v/>
      </c>
      <c r="M16" s="14"/>
      <c r="N16" s="14"/>
      <c r="O16" s="16"/>
      <c r="P16" s="14"/>
      <c r="Q16" s="14"/>
    </row>
    <row r="17" customFormat="false" ht="15" hidden="false" customHeight="false" outlineLevel="0" collapsed="false">
      <c r="A17" s="14"/>
      <c r="B17" s="14"/>
      <c r="C17" s="14"/>
      <c r="D17" s="14"/>
      <c r="E17" s="14"/>
      <c r="F17" s="15"/>
      <c r="G17" s="11"/>
      <c r="H17" s="11" t="str">
        <f aca="false">IF($F17="","",$F17*$G17)</f>
        <v/>
      </c>
      <c r="I17" s="11"/>
      <c r="J17" s="11"/>
      <c r="K17" s="11" t="str">
        <f aca="false">IF(OR($J17="",$G17=""),"",$J17-$G17)</f>
        <v/>
      </c>
      <c r="L17" s="12" t="str">
        <f aca="false">IF(OR($J17="",$J17=0),"",($J17-$G17)/$J17)</f>
        <v/>
      </c>
      <c r="M17" s="14"/>
      <c r="N17" s="14"/>
      <c r="O17" s="16"/>
      <c r="P17" s="14"/>
      <c r="Q17" s="14"/>
    </row>
    <row r="18" customFormat="false" ht="15" hidden="false" customHeight="false" outlineLevel="0" collapsed="false">
      <c r="A18" s="14"/>
      <c r="B18" s="14"/>
      <c r="C18" s="14"/>
      <c r="D18" s="14"/>
      <c r="E18" s="14"/>
      <c r="F18" s="15"/>
      <c r="G18" s="11"/>
      <c r="H18" s="11" t="str">
        <f aca="false">IF($F18="","",$F18*$G18)</f>
        <v/>
      </c>
      <c r="I18" s="11"/>
      <c r="J18" s="11"/>
      <c r="K18" s="11" t="str">
        <f aca="false">IF(OR($J18="",$G18=""),"",$J18-$G18)</f>
        <v/>
      </c>
      <c r="L18" s="12" t="str">
        <f aca="false">IF(OR($J18="",$J18=0),"",($J18-$G18)/$J18)</f>
        <v/>
      </c>
      <c r="M18" s="14"/>
      <c r="N18" s="14"/>
      <c r="O18" s="16"/>
      <c r="P18" s="14"/>
      <c r="Q18" s="14"/>
    </row>
    <row r="19" customFormat="false" ht="15" hidden="false" customHeight="false" outlineLevel="0" collapsed="false">
      <c r="A19" s="14"/>
      <c r="B19" s="14"/>
      <c r="C19" s="14"/>
      <c r="D19" s="14"/>
      <c r="E19" s="14"/>
      <c r="F19" s="15"/>
      <c r="G19" s="11"/>
      <c r="H19" s="11" t="str">
        <f aca="false">IF($F19="","",$F19*$G19)</f>
        <v/>
      </c>
      <c r="I19" s="11"/>
      <c r="J19" s="11"/>
      <c r="K19" s="11" t="str">
        <f aca="false">IF(OR($J19="",$G19=""),"",$J19-$G19)</f>
        <v/>
      </c>
      <c r="L19" s="12" t="str">
        <f aca="false">IF(OR($J19="",$J19=0),"",($J19-$G19)/$J19)</f>
        <v/>
      </c>
      <c r="M19" s="14"/>
      <c r="N19" s="14"/>
      <c r="O19" s="16"/>
      <c r="P19" s="14"/>
      <c r="Q19" s="14"/>
    </row>
    <row r="20" customFormat="false" ht="15" hidden="false" customHeight="false" outlineLevel="0" collapsed="false">
      <c r="A20" s="14"/>
      <c r="B20" s="14"/>
      <c r="C20" s="14"/>
      <c r="D20" s="14"/>
      <c r="E20" s="14"/>
      <c r="F20" s="15"/>
      <c r="G20" s="11"/>
      <c r="H20" s="11" t="str">
        <f aca="false">IF($F20="","",$F20*$G20)</f>
        <v/>
      </c>
      <c r="I20" s="11"/>
      <c r="J20" s="11"/>
      <c r="K20" s="11" t="str">
        <f aca="false">IF(OR($J20="",$G20=""),"",$J20-$G20)</f>
        <v/>
      </c>
      <c r="L20" s="12" t="str">
        <f aca="false">IF(OR($J20="",$J20=0),"",($J20-$G20)/$J20)</f>
        <v/>
      </c>
      <c r="M20" s="14"/>
      <c r="N20" s="14"/>
      <c r="O20" s="16"/>
      <c r="P20" s="14"/>
      <c r="Q20" s="14"/>
    </row>
    <row r="21" customFormat="false" ht="15" hidden="false" customHeight="false" outlineLevel="0" collapsed="false">
      <c r="A21" s="14"/>
      <c r="B21" s="14"/>
      <c r="C21" s="14"/>
      <c r="D21" s="14"/>
      <c r="E21" s="14"/>
      <c r="F21" s="15"/>
      <c r="G21" s="11"/>
      <c r="H21" s="11" t="str">
        <f aca="false">IF($F21="","",$F21*$G21)</f>
        <v/>
      </c>
      <c r="I21" s="11"/>
      <c r="J21" s="11"/>
      <c r="K21" s="11" t="str">
        <f aca="false">IF(OR($J21="",$G21=""),"",$J21-$G21)</f>
        <v/>
      </c>
      <c r="L21" s="12" t="str">
        <f aca="false">IF(OR($J21="",$J21=0),"",($J21-$G21)/$J21)</f>
        <v/>
      </c>
      <c r="M21" s="14"/>
      <c r="N21" s="14"/>
      <c r="O21" s="16"/>
      <c r="P21" s="14"/>
      <c r="Q21" s="14"/>
    </row>
    <row r="22" customFormat="false" ht="15" hidden="false" customHeight="false" outlineLevel="0" collapsed="false">
      <c r="A22" s="14"/>
      <c r="B22" s="14"/>
      <c r="C22" s="14"/>
      <c r="D22" s="14"/>
      <c r="E22" s="14"/>
      <c r="F22" s="15"/>
      <c r="G22" s="11"/>
      <c r="H22" s="11" t="str">
        <f aca="false">IF($F22="","",$F22*$G22)</f>
        <v/>
      </c>
      <c r="I22" s="11"/>
      <c r="J22" s="11"/>
      <c r="K22" s="11" t="str">
        <f aca="false">IF(OR($J22="",$G22=""),"",$J22-$G22)</f>
        <v/>
      </c>
      <c r="L22" s="12" t="str">
        <f aca="false">IF(OR($J22="",$J22=0),"",($J22-$G22)/$J22)</f>
        <v/>
      </c>
      <c r="M22" s="14"/>
      <c r="N22" s="14"/>
      <c r="O22" s="16"/>
      <c r="P22" s="14"/>
      <c r="Q22" s="14"/>
    </row>
    <row r="23" customFormat="false" ht="15" hidden="false" customHeight="false" outlineLevel="0" collapsed="false">
      <c r="A23" s="14"/>
      <c r="B23" s="14"/>
      <c r="C23" s="14"/>
      <c r="D23" s="14"/>
      <c r="E23" s="14"/>
      <c r="F23" s="15"/>
      <c r="G23" s="11"/>
      <c r="H23" s="11" t="str">
        <f aca="false">IF($F23="","",$F23*$G23)</f>
        <v/>
      </c>
      <c r="I23" s="11"/>
      <c r="J23" s="11"/>
      <c r="K23" s="11" t="str">
        <f aca="false">IF(OR($J23="",$G23=""),"",$J23-$G23)</f>
        <v/>
      </c>
      <c r="L23" s="12" t="str">
        <f aca="false">IF(OR($J23="",$J23=0),"",($J23-$G23)/$J23)</f>
        <v/>
      </c>
      <c r="M23" s="14"/>
      <c r="N23" s="14"/>
      <c r="O23" s="16"/>
      <c r="P23" s="14"/>
      <c r="Q23" s="14"/>
    </row>
    <row r="24" customFormat="false" ht="15" hidden="false" customHeight="false" outlineLevel="0" collapsed="false">
      <c r="A24" s="14"/>
      <c r="B24" s="14"/>
      <c r="C24" s="14"/>
      <c r="D24" s="14"/>
      <c r="E24" s="14"/>
      <c r="F24" s="15"/>
      <c r="G24" s="11"/>
      <c r="H24" s="11" t="str">
        <f aca="false">IF($F24="","",$F24*$G24)</f>
        <v/>
      </c>
      <c r="I24" s="11"/>
      <c r="J24" s="11"/>
      <c r="K24" s="11" t="str">
        <f aca="false">IF(OR($J24="",$G24=""),"",$J24-$G24)</f>
        <v/>
      </c>
      <c r="L24" s="12" t="str">
        <f aca="false">IF(OR($J24="",$J24=0),"",($J24-$G24)/$J24)</f>
        <v/>
      </c>
      <c r="M24" s="14"/>
      <c r="N24" s="14"/>
      <c r="O24" s="16"/>
      <c r="P24" s="14"/>
      <c r="Q24" s="14"/>
    </row>
    <row r="25" customFormat="false" ht="15" hidden="false" customHeight="false" outlineLevel="0" collapsed="false">
      <c r="A25" s="14"/>
      <c r="B25" s="14"/>
      <c r="C25" s="14"/>
      <c r="D25" s="14"/>
      <c r="E25" s="14"/>
      <c r="F25" s="15"/>
      <c r="G25" s="11"/>
      <c r="H25" s="11" t="str">
        <f aca="false">IF($F25="","",$F25*$G25)</f>
        <v/>
      </c>
      <c r="I25" s="11"/>
      <c r="J25" s="11"/>
      <c r="K25" s="11" t="str">
        <f aca="false">IF(OR($J25="",$G25=""),"",$J25-$G25)</f>
        <v/>
      </c>
      <c r="L25" s="12" t="str">
        <f aca="false">IF(OR($J25="",$J25=0),"",($J25-$G25)/$J25)</f>
        <v/>
      </c>
      <c r="M25" s="14"/>
      <c r="N25" s="14"/>
      <c r="O25" s="16"/>
      <c r="P25" s="14"/>
      <c r="Q25" s="14"/>
    </row>
    <row r="26" customFormat="false" ht="15" hidden="false" customHeight="false" outlineLevel="0" collapsed="false">
      <c r="A26" s="14"/>
      <c r="B26" s="14"/>
      <c r="C26" s="14"/>
      <c r="D26" s="14"/>
      <c r="E26" s="14"/>
      <c r="F26" s="15"/>
      <c r="G26" s="11"/>
      <c r="H26" s="11" t="str">
        <f aca="false">IF($F26="","",$F26*$G26)</f>
        <v/>
      </c>
      <c r="I26" s="11"/>
      <c r="J26" s="11"/>
      <c r="K26" s="11" t="str">
        <f aca="false">IF(OR($J26="",$G26=""),"",$J26-$G26)</f>
        <v/>
      </c>
      <c r="L26" s="12" t="str">
        <f aca="false">IF(OR($J26="",$J26=0),"",($J26-$G26)/$J26)</f>
        <v/>
      </c>
      <c r="M26" s="14"/>
      <c r="N26" s="14"/>
      <c r="O26" s="16"/>
      <c r="P26" s="14"/>
      <c r="Q26" s="14"/>
    </row>
    <row r="27" customFormat="false" ht="15" hidden="false" customHeight="false" outlineLevel="0" collapsed="false">
      <c r="A27" s="14"/>
      <c r="B27" s="14"/>
      <c r="C27" s="14"/>
      <c r="D27" s="14"/>
      <c r="E27" s="14"/>
      <c r="F27" s="15"/>
      <c r="G27" s="11"/>
      <c r="H27" s="11" t="str">
        <f aca="false">IF($F27="","",$F27*$G27)</f>
        <v/>
      </c>
      <c r="I27" s="11"/>
      <c r="J27" s="11"/>
      <c r="K27" s="11" t="str">
        <f aca="false">IF(OR($J27="",$G27=""),"",$J27-$G27)</f>
        <v/>
      </c>
      <c r="L27" s="12" t="str">
        <f aca="false">IF(OR($J27="",$J27=0),"",($J27-$G27)/$J27)</f>
        <v/>
      </c>
      <c r="M27" s="14"/>
      <c r="N27" s="14"/>
      <c r="O27" s="16"/>
      <c r="P27" s="14"/>
      <c r="Q27" s="14"/>
    </row>
    <row r="28" customFormat="false" ht="15" hidden="false" customHeight="false" outlineLevel="0" collapsed="false">
      <c r="A28" s="14"/>
      <c r="B28" s="14"/>
      <c r="C28" s="14"/>
      <c r="D28" s="14"/>
      <c r="E28" s="14"/>
      <c r="F28" s="15"/>
      <c r="G28" s="11"/>
      <c r="H28" s="11" t="str">
        <f aca="false">IF($F28="","",$F28*$G28)</f>
        <v/>
      </c>
      <c r="I28" s="11"/>
      <c r="J28" s="11"/>
      <c r="K28" s="11" t="str">
        <f aca="false">IF(OR($J28="",$G28=""),"",$J28-$G28)</f>
        <v/>
      </c>
      <c r="L28" s="12" t="str">
        <f aca="false">IF(OR($J28="",$J28=0),"",($J28-$G28)/$J28)</f>
        <v/>
      </c>
      <c r="M28" s="14"/>
      <c r="N28" s="14"/>
      <c r="O28" s="16"/>
      <c r="P28" s="14"/>
      <c r="Q28" s="14"/>
    </row>
    <row r="29" customFormat="false" ht="15" hidden="false" customHeight="false" outlineLevel="0" collapsed="false">
      <c r="A29" s="14"/>
      <c r="B29" s="14"/>
      <c r="C29" s="14"/>
      <c r="D29" s="14"/>
      <c r="E29" s="14"/>
      <c r="F29" s="15"/>
      <c r="G29" s="11"/>
      <c r="H29" s="11" t="str">
        <f aca="false">IF($F29="","",$F29*$G29)</f>
        <v/>
      </c>
      <c r="I29" s="11"/>
      <c r="J29" s="11"/>
      <c r="K29" s="11" t="str">
        <f aca="false">IF(OR($J29="",$G29=""),"",$J29-$G29)</f>
        <v/>
      </c>
      <c r="L29" s="12" t="str">
        <f aca="false">IF(OR($J29="",$J29=0),"",($J29-$G29)/$J29)</f>
        <v/>
      </c>
      <c r="M29" s="14"/>
      <c r="N29" s="14"/>
      <c r="O29" s="16"/>
      <c r="P29" s="14"/>
      <c r="Q29" s="14"/>
    </row>
    <row r="30" customFormat="false" ht="15" hidden="false" customHeight="false" outlineLevel="0" collapsed="false">
      <c r="A30" s="14"/>
      <c r="B30" s="14"/>
      <c r="C30" s="14"/>
      <c r="D30" s="14"/>
      <c r="E30" s="14"/>
      <c r="F30" s="15"/>
      <c r="G30" s="11"/>
      <c r="H30" s="11" t="str">
        <f aca="false">IF($F30="","",$F30*$G30)</f>
        <v/>
      </c>
      <c r="I30" s="11"/>
      <c r="J30" s="11"/>
      <c r="K30" s="11" t="str">
        <f aca="false">IF(OR($J30="",$G30=""),"",$J30-$G30)</f>
        <v/>
      </c>
      <c r="L30" s="12" t="str">
        <f aca="false">IF(OR($J30="",$J30=0),"",($J30-$G30)/$J30)</f>
        <v/>
      </c>
      <c r="M30" s="14"/>
      <c r="N30" s="14"/>
      <c r="O30" s="16"/>
      <c r="P30" s="14"/>
      <c r="Q30" s="14"/>
    </row>
    <row r="31" customFormat="false" ht="15" hidden="false" customHeight="false" outlineLevel="0" collapsed="false">
      <c r="A31" s="14"/>
      <c r="B31" s="14"/>
      <c r="C31" s="14"/>
      <c r="D31" s="14"/>
      <c r="E31" s="14"/>
      <c r="F31" s="15"/>
      <c r="G31" s="11"/>
      <c r="H31" s="11" t="str">
        <f aca="false">IF($F31="","",$F31*$G31)</f>
        <v/>
      </c>
      <c r="I31" s="11"/>
      <c r="J31" s="11"/>
      <c r="K31" s="11" t="str">
        <f aca="false">IF(OR($J31="",$G31=""),"",$J31-$G31)</f>
        <v/>
      </c>
      <c r="L31" s="12" t="str">
        <f aca="false">IF(OR($J31="",$J31=0),"",($J31-$G31)/$J31)</f>
        <v/>
      </c>
      <c r="M31" s="14"/>
      <c r="N31" s="14"/>
      <c r="O31" s="16"/>
      <c r="P31" s="14"/>
      <c r="Q31" s="14"/>
    </row>
    <row r="32" customFormat="false" ht="15" hidden="false" customHeight="false" outlineLevel="0" collapsed="false">
      <c r="A32" s="14"/>
      <c r="B32" s="14"/>
      <c r="C32" s="14"/>
      <c r="D32" s="14"/>
      <c r="E32" s="14"/>
      <c r="F32" s="15"/>
      <c r="G32" s="11"/>
      <c r="H32" s="11" t="str">
        <f aca="false">IF($F32="","",$F32*$G32)</f>
        <v/>
      </c>
      <c r="I32" s="11"/>
      <c r="J32" s="11"/>
      <c r="K32" s="11" t="str">
        <f aca="false">IF(OR($J32="",$G32=""),"",$J32-$G32)</f>
        <v/>
      </c>
      <c r="L32" s="12" t="str">
        <f aca="false">IF(OR($J32="",$J32=0),"",($J32-$G32)/$J32)</f>
        <v/>
      </c>
      <c r="M32" s="14"/>
      <c r="N32" s="14"/>
      <c r="O32" s="16"/>
      <c r="P32" s="14"/>
      <c r="Q32" s="14"/>
    </row>
    <row r="33" customFormat="false" ht="15" hidden="false" customHeight="false" outlineLevel="0" collapsed="false">
      <c r="A33" s="14"/>
      <c r="B33" s="14"/>
      <c r="C33" s="14"/>
      <c r="D33" s="14"/>
      <c r="E33" s="14"/>
      <c r="F33" s="15"/>
      <c r="G33" s="11"/>
      <c r="H33" s="11" t="str">
        <f aca="false">IF($F33="","",$F33*$G33)</f>
        <v/>
      </c>
      <c r="I33" s="11"/>
      <c r="J33" s="11"/>
      <c r="K33" s="11" t="str">
        <f aca="false">IF(OR($J33="",$G33=""),"",$J33-$G33)</f>
        <v/>
      </c>
      <c r="L33" s="12" t="str">
        <f aca="false">IF(OR($J33="",$J33=0),"",($J33-$G33)/$J33)</f>
        <v/>
      </c>
      <c r="M33" s="14"/>
      <c r="N33" s="14"/>
      <c r="O33" s="16"/>
      <c r="P33" s="14"/>
      <c r="Q33" s="14"/>
    </row>
    <row r="34" customFormat="false" ht="15" hidden="false" customHeight="false" outlineLevel="0" collapsed="false">
      <c r="A34" s="14"/>
      <c r="B34" s="14"/>
      <c r="C34" s="14"/>
      <c r="D34" s="14"/>
      <c r="E34" s="14"/>
      <c r="F34" s="15"/>
      <c r="G34" s="11"/>
      <c r="H34" s="11" t="str">
        <f aca="false">IF($F34="","",$F34*$G34)</f>
        <v/>
      </c>
      <c r="I34" s="11"/>
      <c r="J34" s="11"/>
      <c r="K34" s="11" t="str">
        <f aca="false">IF(OR($J34="",$G34=""),"",$J34-$G34)</f>
        <v/>
      </c>
      <c r="L34" s="12" t="str">
        <f aca="false">IF(OR($J34="",$J34=0),"",($J34-$G34)/$J34)</f>
        <v/>
      </c>
      <c r="M34" s="14"/>
      <c r="N34" s="14"/>
      <c r="O34" s="16"/>
      <c r="P34" s="14"/>
      <c r="Q34" s="14"/>
    </row>
    <row r="35" customFormat="false" ht="15" hidden="false" customHeight="false" outlineLevel="0" collapsed="false">
      <c r="A35" s="14"/>
      <c r="B35" s="14"/>
      <c r="C35" s="14"/>
      <c r="D35" s="14"/>
      <c r="E35" s="14"/>
      <c r="F35" s="15"/>
      <c r="G35" s="11"/>
      <c r="H35" s="11" t="str">
        <f aca="false">IF($F35="","",$F35*$G35)</f>
        <v/>
      </c>
      <c r="I35" s="11"/>
      <c r="J35" s="11"/>
      <c r="K35" s="11" t="str">
        <f aca="false">IF(OR($J35="",$G35=""),"",$J35-$G35)</f>
        <v/>
      </c>
      <c r="L35" s="12" t="str">
        <f aca="false">IF(OR($J35="",$J35=0),"",($J35-$G35)/$J35)</f>
        <v/>
      </c>
      <c r="M35" s="14"/>
      <c r="N35" s="14"/>
      <c r="O35" s="16"/>
      <c r="P35" s="14"/>
      <c r="Q35" s="14"/>
    </row>
    <row r="36" customFormat="false" ht="15" hidden="false" customHeight="false" outlineLevel="0" collapsed="false">
      <c r="A36" s="14"/>
      <c r="B36" s="14"/>
      <c r="C36" s="14"/>
      <c r="D36" s="14"/>
      <c r="E36" s="14"/>
      <c r="F36" s="15"/>
      <c r="G36" s="11"/>
      <c r="H36" s="11" t="str">
        <f aca="false">IF($F36="","",$F36*$G36)</f>
        <v/>
      </c>
      <c r="I36" s="11"/>
      <c r="J36" s="11"/>
      <c r="K36" s="11" t="str">
        <f aca="false">IF(OR($J36="",$G36=""),"",$J36-$G36)</f>
        <v/>
      </c>
      <c r="L36" s="12" t="str">
        <f aca="false">IF(OR($J36="",$J36=0),"",($J36-$G36)/$J36)</f>
        <v/>
      </c>
      <c r="M36" s="14"/>
      <c r="N36" s="14"/>
      <c r="O36" s="16"/>
      <c r="P36" s="14"/>
      <c r="Q36" s="14"/>
    </row>
    <row r="37" customFormat="false" ht="15" hidden="false" customHeight="false" outlineLevel="0" collapsed="false">
      <c r="A37" s="14"/>
      <c r="B37" s="14"/>
      <c r="C37" s="14"/>
      <c r="D37" s="14"/>
      <c r="E37" s="14"/>
      <c r="F37" s="15"/>
      <c r="G37" s="11"/>
      <c r="H37" s="11" t="str">
        <f aca="false">IF($F37="","",$F37*$G37)</f>
        <v/>
      </c>
      <c r="I37" s="11"/>
      <c r="J37" s="11"/>
      <c r="K37" s="11" t="str">
        <f aca="false">IF(OR($J37="",$G37=""),"",$J37-$G37)</f>
        <v/>
      </c>
      <c r="L37" s="12" t="str">
        <f aca="false">IF(OR($J37="",$J37=0),"",($J37-$G37)/$J37)</f>
        <v/>
      </c>
      <c r="M37" s="14"/>
      <c r="N37" s="14"/>
      <c r="O37" s="16"/>
      <c r="P37" s="14"/>
      <c r="Q37" s="14"/>
    </row>
    <row r="38" customFormat="false" ht="15" hidden="false" customHeight="false" outlineLevel="0" collapsed="false">
      <c r="A38" s="14"/>
      <c r="B38" s="14"/>
      <c r="C38" s="14"/>
      <c r="D38" s="14"/>
      <c r="E38" s="14"/>
      <c r="F38" s="15"/>
      <c r="G38" s="11"/>
      <c r="H38" s="11" t="str">
        <f aca="false">IF($F38="","",$F38*$G38)</f>
        <v/>
      </c>
      <c r="I38" s="11"/>
      <c r="J38" s="11"/>
      <c r="K38" s="11" t="str">
        <f aca="false">IF(OR($J38="",$G38=""),"",$J38-$G38)</f>
        <v/>
      </c>
      <c r="L38" s="12" t="str">
        <f aca="false">IF(OR($J38="",$J38=0),"",($J38-$G38)/$J38)</f>
        <v/>
      </c>
      <c r="M38" s="14"/>
      <c r="N38" s="14"/>
      <c r="O38" s="16"/>
      <c r="P38" s="14"/>
      <c r="Q38" s="14"/>
    </row>
    <row r="39" customFormat="false" ht="15" hidden="false" customHeight="false" outlineLevel="0" collapsed="false">
      <c r="A39" s="14"/>
      <c r="B39" s="14"/>
      <c r="C39" s="14"/>
      <c r="D39" s="14"/>
      <c r="E39" s="14"/>
      <c r="F39" s="15"/>
      <c r="G39" s="11"/>
      <c r="H39" s="11" t="str">
        <f aca="false">IF($F39="","",$F39*$G39)</f>
        <v/>
      </c>
      <c r="I39" s="11"/>
      <c r="J39" s="11"/>
      <c r="K39" s="11" t="str">
        <f aca="false">IF(OR($J39="",$G39=""),"",$J39-$G39)</f>
        <v/>
      </c>
      <c r="L39" s="12" t="str">
        <f aca="false">IF(OR($J39="",$J39=0),"",($J39-$G39)/$J39)</f>
        <v/>
      </c>
      <c r="M39" s="14"/>
      <c r="N39" s="14"/>
      <c r="O39" s="16"/>
      <c r="P39" s="14"/>
      <c r="Q39" s="14"/>
    </row>
    <row r="40" customFormat="false" ht="15" hidden="false" customHeight="false" outlineLevel="0" collapsed="false">
      <c r="A40" s="14"/>
      <c r="B40" s="14"/>
      <c r="C40" s="14"/>
      <c r="D40" s="14"/>
      <c r="E40" s="14"/>
      <c r="F40" s="15"/>
      <c r="G40" s="11"/>
      <c r="H40" s="11" t="str">
        <f aca="false">IF($F40="","",$F40*$G40)</f>
        <v/>
      </c>
      <c r="I40" s="11"/>
      <c r="J40" s="11"/>
      <c r="K40" s="11" t="str">
        <f aca="false">IF(OR($J40="",$G40=""),"",$J40-$G40)</f>
        <v/>
      </c>
      <c r="L40" s="12" t="str">
        <f aca="false">IF(OR($J40="",$J40=0),"",($J40-$G40)/$J40)</f>
        <v/>
      </c>
      <c r="M40" s="14"/>
      <c r="N40" s="14"/>
      <c r="O40" s="16"/>
      <c r="P40" s="14"/>
      <c r="Q40" s="14"/>
    </row>
    <row r="41" customFormat="false" ht="15" hidden="false" customHeight="false" outlineLevel="0" collapsed="false">
      <c r="A41" s="14"/>
      <c r="B41" s="14"/>
      <c r="C41" s="14"/>
      <c r="D41" s="14"/>
      <c r="E41" s="14"/>
      <c r="F41" s="15"/>
      <c r="G41" s="11"/>
      <c r="H41" s="11" t="str">
        <f aca="false">IF($F41="","",$F41*$G41)</f>
        <v/>
      </c>
      <c r="I41" s="11"/>
      <c r="J41" s="11"/>
      <c r="K41" s="11" t="str">
        <f aca="false">IF(OR($J41="",$G41=""),"",$J41-$G41)</f>
        <v/>
      </c>
      <c r="L41" s="12" t="str">
        <f aca="false">IF(OR($J41="",$J41=0),"",($J41-$G41)/$J41)</f>
        <v/>
      </c>
      <c r="M41" s="14"/>
      <c r="N41" s="14"/>
      <c r="O41" s="16"/>
      <c r="P41" s="14"/>
      <c r="Q41" s="14"/>
    </row>
    <row r="42" customFormat="false" ht="15" hidden="false" customHeight="false" outlineLevel="0" collapsed="false">
      <c r="A42" s="14"/>
      <c r="B42" s="14"/>
      <c r="C42" s="14"/>
      <c r="D42" s="14"/>
      <c r="E42" s="14"/>
      <c r="F42" s="15"/>
      <c r="G42" s="11"/>
      <c r="H42" s="11" t="str">
        <f aca="false">IF($F42="","",$F42*$G42)</f>
        <v/>
      </c>
      <c r="I42" s="11"/>
      <c r="J42" s="11"/>
      <c r="K42" s="11" t="str">
        <f aca="false">IF(OR($J42="",$G42=""),"",$J42-$G42)</f>
        <v/>
      </c>
      <c r="L42" s="12" t="str">
        <f aca="false">IF(OR($J42="",$J42=0),"",($J42-$G42)/$J42)</f>
        <v/>
      </c>
      <c r="M42" s="14"/>
      <c r="N42" s="14"/>
      <c r="O42" s="16"/>
      <c r="P42" s="14"/>
      <c r="Q42" s="14"/>
    </row>
    <row r="43" customFormat="false" ht="15" hidden="false" customHeight="false" outlineLevel="0" collapsed="false">
      <c r="A43" s="14"/>
      <c r="B43" s="14"/>
      <c r="C43" s="14"/>
      <c r="D43" s="14"/>
      <c r="E43" s="14"/>
      <c r="F43" s="15"/>
      <c r="G43" s="11"/>
      <c r="H43" s="11" t="str">
        <f aca="false">IF($F43="","",$F43*$G43)</f>
        <v/>
      </c>
      <c r="I43" s="11"/>
      <c r="J43" s="11"/>
      <c r="K43" s="11" t="str">
        <f aca="false">IF(OR($J43="",$G43=""),"",$J43-$G43)</f>
        <v/>
      </c>
      <c r="L43" s="12" t="str">
        <f aca="false">IF(OR($J43="",$J43=0),"",($J43-$G43)/$J43)</f>
        <v/>
      </c>
      <c r="M43" s="14"/>
      <c r="N43" s="14"/>
      <c r="O43" s="16"/>
      <c r="P43" s="14"/>
      <c r="Q43" s="14"/>
    </row>
    <row r="44" customFormat="false" ht="15" hidden="false" customHeight="false" outlineLevel="0" collapsed="false">
      <c r="A44" s="14"/>
      <c r="B44" s="14"/>
      <c r="C44" s="14"/>
      <c r="D44" s="14"/>
      <c r="E44" s="14"/>
      <c r="F44" s="15"/>
      <c r="G44" s="11"/>
      <c r="H44" s="11" t="str">
        <f aca="false">IF($F44="","",$F44*$G44)</f>
        <v/>
      </c>
      <c r="I44" s="11"/>
      <c r="J44" s="11"/>
      <c r="K44" s="11" t="str">
        <f aca="false">IF(OR($J44="",$G44=""),"",$J44-$G44)</f>
        <v/>
      </c>
      <c r="L44" s="12" t="str">
        <f aca="false">IF(OR($J44="",$J44=0),"",($J44-$G44)/$J44)</f>
        <v/>
      </c>
      <c r="M44" s="14"/>
      <c r="N44" s="14"/>
      <c r="O44" s="16"/>
      <c r="P44" s="14"/>
      <c r="Q44" s="14"/>
    </row>
    <row r="45" customFormat="false" ht="15" hidden="false" customHeight="false" outlineLevel="0" collapsed="false">
      <c r="A45" s="14"/>
      <c r="B45" s="14"/>
      <c r="C45" s="14"/>
      <c r="D45" s="14"/>
      <c r="E45" s="14"/>
      <c r="F45" s="15"/>
      <c r="G45" s="11"/>
      <c r="H45" s="11" t="str">
        <f aca="false">IF($F45="","",$F45*$G45)</f>
        <v/>
      </c>
      <c r="I45" s="11"/>
      <c r="J45" s="11"/>
      <c r="K45" s="11" t="str">
        <f aca="false">IF(OR($J45="",$G45=""),"",$J45-$G45)</f>
        <v/>
      </c>
      <c r="L45" s="12" t="str">
        <f aca="false">IF(OR($J45="",$J45=0),"",($J45-$G45)/$J45)</f>
        <v/>
      </c>
      <c r="M45" s="14"/>
      <c r="N45" s="14"/>
      <c r="O45" s="16"/>
      <c r="P45" s="14"/>
      <c r="Q45" s="14"/>
    </row>
    <row r="46" customFormat="false" ht="15" hidden="false" customHeight="false" outlineLevel="0" collapsed="false">
      <c r="A46" s="14"/>
      <c r="B46" s="14"/>
      <c r="C46" s="14"/>
      <c r="D46" s="14"/>
      <c r="E46" s="14"/>
      <c r="F46" s="15"/>
      <c r="G46" s="11"/>
      <c r="H46" s="11" t="str">
        <f aca="false">IF($F46="","",$F46*$G46)</f>
        <v/>
      </c>
      <c r="I46" s="11"/>
      <c r="J46" s="11"/>
      <c r="K46" s="11" t="str">
        <f aca="false">IF(OR($J46="",$G46=""),"",$J46-$G46)</f>
        <v/>
      </c>
      <c r="L46" s="12" t="str">
        <f aca="false">IF(OR($J46="",$J46=0),"",($J46-$G46)/$J46)</f>
        <v/>
      </c>
      <c r="M46" s="14"/>
      <c r="N46" s="14"/>
      <c r="O46" s="16"/>
      <c r="P46" s="14"/>
      <c r="Q46" s="14"/>
    </row>
    <row r="47" customFormat="false" ht="15" hidden="false" customHeight="false" outlineLevel="0" collapsed="false">
      <c r="A47" s="14"/>
      <c r="B47" s="14"/>
      <c r="C47" s="14"/>
      <c r="D47" s="14"/>
      <c r="E47" s="14"/>
      <c r="F47" s="15"/>
      <c r="G47" s="11"/>
      <c r="H47" s="11" t="str">
        <f aca="false">IF($F47="","",$F47*$G47)</f>
        <v/>
      </c>
      <c r="I47" s="11"/>
      <c r="J47" s="11"/>
      <c r="K47" s="11" t="str">
        <f aca="false">IF(OR($J47="",$G47=""),"",$J47-$G47)</f>
        <v/>
      </c>
      <c r="L47" s="12" t="str">
        <f aca="false">IF(OR($J47="",$J47=0),"",($J47-$G47)/$J47)</f>
        <v/>
      </c>
      <c r="M47" s="14"/>
      <c r="N47" s="14"/>
      <c r="O47" s="16"/>
      <c r="P47" s="14"/>
      <c r="Q47" s="14"/>
    </row>
    <row r="48" customFormat="false" ht="15" hidden="false" customHeight="false" outlineLevel="0" collapsed="false">
      <c r="A48" s="14"/>
      <c r="B48" s="14"/>
      <c r="C48" s="14"/>
      <c r="D48" s="14"/>
      <c r="E48" s="14"/>
      <c r="F48" s="15"/>
      <c r="G48" s="11"/>
      <c r="H48" s="11" t="str">
        <f aca="false">IF($F48="","",$F48*$G48)</f>
        <v/>
      </c>
      <c r="I48" s="11"/>
      <c r="J48" s="11"/>
      <c r="K48" s="11" t="str">
        <f aca="false">IF(OR($J48="",$G48=""),"",$J48-$G48)</f>
        <v/>
      </c>
      <c r="L48" s="12" t="str">
        <f aca="false">IF(OR($J48="",$J48=0),"",($J48-$G48)/$J48)</f>
        <v/>
      </c>
      <c r="M48" s="14"/>
      <c r="N48" s="14"/>
      <c r="O48" s="16"/>
      <c r="P48" s="14"/>
      <c r="Q48" s="14"/>
    </row>
    <row r="49" customFormat="false" ht="15" hidden="false" customHeight="false" outlineLevel="0" collapsed="false">
      <c r="A49" s="14"/>
      <c r="B49" s="14"/>
      <c r="C49" s="14"/>
      <c r="D49" s="14"/>
      <c r="E49" s="14"/>
      <c r="F49" s="15"/>
      <c r="G49" s="11"/>
      <c r="H49" s="11" t="str">
        <f aca="false">IF($F49="","",$F49*$G49)</f>
        <v/>
      </c>
      <c r="I49" s="11"/>
      <c r="J49" s="11"/>
      <c r="K49" s="11" t="str">
        <f aca="false">IF(OR($J49="",$G49=""),"",$J49-$G49)</f>
        <v/>
      </c>
      <c r="L49" s="12" t="str">
        <f aca="false">IF(OR($J49="",$J49=0),"",($J49-$G49)/$J49)</f>
        <v/>
      </c>
      <c r="M49" s="14"/>
      <c r="N49" s="14"/>
      <c r="O49" s="16"/>
      <c r="P49" s="14"/>
      <c r="Q49" s="14"/>
    </row>
    <row r="50" customFormat="false" ht="15" hidden="false" customHeight="false" outlineLevel="0" collapsed="false">
      <c r="A50" s="14"/>
      <c r="B50" s="14"/>
      <c r="C50" s="14"/>
      <c r="D50" s="14"/>
      <c r="E50" s="14"/>
      <c r="F50" s="15"/>
      <c r="G50" s="11"/>
      <c r="H50" s="11" t="str">
        <f aca="false">IF($F50="","",$F50*$G50)</f>
        <v/>
      </c>
      <c r="I50" s="11"/>
      <c r="J50" s="11"/>
      <c r="K50" s="11" t="str">
        <f aca="false">IF(OR($J50="",$G50=""),"",$J50-$G50)</f>
        <v/>
      </c>
      <c r="L50" s="12" t="str">
        <f aca="false">IF(OR($J50="",$J50=0),"",($J50-$G50)/$J50)</f>
        <v/>
      </c>
      <c r="M50" s="14"/>
      <c r="N50" s="14"/>
      <c r="O50" s="16"/>
      <c r="P50" s="14"/>
      <c r="Q50" s="14"/>
    </row>
    <row r="51" customFormat="false" ht="15" hidden="false" customHeight="false" outlineLevel="0" collapsed="false">
      <c r="A51" s="14"/>
      <c r="B51" s="14"/>
      <c r="C51" s="14"/>
      <c r="D51" s="14"/>
      <c r="E51" s="14"/>
      <c r="F51" s="15"/>
      <c r="G51" s="11"/>
      <c r="H51" s="11" t="str">
        <f aca="false">IF($F51="","",$F51*$G51)</f>
        <v/>
      </c>
      <c r="I51" s="11"/>
      <c r="J51" s="11"/>
      <c r="K51" s="11" t="str">
        <f aca="false">IF(OR($J51="",$G51=""),"",$J51-$G51)</f>
        <v/>
      </c>
      <c r="L51" s="12" t="str">
        <f aca="false">IF(OR($J51="",$J51=0),"",($J51-$G51)/$J51)</f>
        <v/>
      </c>
      <c r="M51" s="14"/>
      <c r="N51" s="14"/>
      <c r="O51" s="16"/>
      <c r="P51" s="14"/>
      <c r="Q51" s="14"/>
    </row>
    <row r="52" customFormat="false" ht="15" hidden="false" customHeight="false" outlineLevel="0" collapsed="false">
      <c r="A52" s="14"/>
      <c r="B52" s="14"/>
      <c r="C52" s="14"/>
      <c r="D52" s="14"/>
      <c r="E52" s="14"/>
      <c r="F52" s="15"/>
      <c r="G52" s="11"/>
      <c r="H52" s="11" t="str">
        <f aca="false">IF($F52="","",$F52*$G52)</f>
        <v/>
      </c>
      <c r="I52" s="11"/>
      <c r="J52" s="11"/>
      <c r="K52" s="11" t="str">
        <f aca="false">IF(OR($J52="",$G52=""),"",$J52-$G52)</f>
        <v/>
      </c>
      <c r="L52" s="12" t="str">
        <f aca="false">IF(OR($J52="",$J52=0),"",($J52-$G52)/$J52)</f>
        <v/>
      </c>
      <c r="M52" s="14"/>
      <c r="N52" s="14"/>
      <c r="O52" s="16"/>
      <c r="P52" s="14"/>
      <c r="Q52" s="14"/>
    </row>
    <row r="53" customFormat="false" ht="15" hidden="false" customHeight="false" outlineLevel="0" collapsed="false">
      <c r="A53" s="14"/>
      <c r="B53" s="14"/>
      <c r="C53" s="14"/>
      <c r="D53" s="14"/>
      <c r="E53" s="14"/>
      <c r="F53" s="15"/>
      <c r="G53" s="11"/>
      <c r="H53" s="11" t="str">
        <f aca="false">IF($F53="","",$F53*$G53)</f>
        <v/>
      </c>
      <c r="I53" s="11"/>
      <c r="J53" s="11"/>
      <c r="K53" s="11" t="str">
        <f aca="false">IF(OR($J53="",$G53=""),"",$J53-$G53)</f>
        <v/>
      </c>
      <c r="L53" s="12" t="str">
        <f aca="false">IF(OR($J53="",$J53=0),"",($J53-$G53)/$J53)</f>
        <v/>
      </c>
      <c r="M53" s="14"/>
      <c r="N53" s="14"/>
      <c r="O53" s="16"/>
      <c r="P53" s="14"/>
      <c r="Q53" s="14"/>
    </row>
    <row r="54" customFormat="false" ht="15" hidden="false" customHeight="false" outlineLevel="0" collapsed="false">
      <c r="A54" s="14"/>
      <c r="B54" s="14"/>
      <c r="C54" s="14"/>
      <c r="D54" s="14"/>
      <c r="E54" s="14"/>
      <c r="F54" s="15"/>
      <c r="G54" s="11"/>
      <c r="H54" s="11" t="str">
        <f aca="false">IF($F54="","",$F54*$G54)</f>
        <v/>
      </c>
      <c r="I54" s="11"/>
      <c r="J54" s="11"/>
      <c r="K54" s="11" t="str">
        <f aca="false">IF(OR($J54="",$G54=""),"",$J54-$G54)</f>
        <v/>
      </c>
      <c r="L54" s="12" t="str">
        <f aca="false">IF(OR($J54="",$J54=0),"",($J54-$G54)/$J54)</f>
        <v/>
      </c>
      <c r="M54" s="14"/>
      <c r="N54" s="14"/>
      <c r="O54" s="16"/>
      <c r="P54" s="14"/>
      <c r="Q54" s="14"/>
    </row>
    <row r="55" customFormat="false" ht="15" hidden="false" customHeight="false" outlineLevel="0" collapsed="false">
      <c r="A55" s="14"/>
      <c r="B55" s="14"/>
      <c r="C55" s="14"/>
      <c r="D55" s="14"/>
      <c r="E55" s="14"/>
      <c r="F55" s="15"/>
      <c r="G55" s="11"/>
      <c r="H55" s="11" t="str">
        <f aca="false">IF($F55="","",$F55*$G55)</f>
        <v/>
      </c>
      <c r="I55" s="11"/>
      <c r="J55" s="11"/>
      <c r="K55" s="11" t="str">
        <f aca="false">IF(OR($J55="",$G55=""),"",$J55-$G55)</f>
        <v/>
      </c>
      <c r="L55" s="12" t="str">
        <f aca="false">IF(OR($J55="",$J55=0),"",($J55-$G55)/$J55)</f>
        <v/>
      </c>
      <c r="M55" s="14"/>
      <c r="N55" s="14"/>
      <c r="O55" s="16"/>
      <c r="P55" s="14"/>
      <c r="Q55" s="14"/>
    </row>
    <row r="56" customFormat="false" ht="15" hidden="false" customHeight="false" outlineLevel="0" collapsed="false">
      <c r="A56" s="14"/>
      <c r="B56" s="14"/>
      <c r="C56" s="14"/>
      <c r="D56" s="14"/>
      <c r="E56" s="14"/>
      <c r="F56" s="15"/>
      <c r="G56" s="11"/>
      <c r="H56" s="11" t="str">
        <f aca="false">IF($F56="","",$F56*$G56)</f>
        <v/>
      </c>
      <c r="I56" s="11"/>
      <c r="J56" s="11"/>
      <c r="K56" s="11" t="str">
        <f aca="false">IF(OR($J56="",$G56=""),"",$J56-$G56)</f>
        <v/>
      </c>
      <c r="L56" s="12" t="str">
        <f aca="false">IF(OR($J56="",$J56=0),"",($J56-$G56)/$J56)</f>
        <v/>
      </c>
      <c r="M56" s="14"/>
      <c r="N56" s="14"/>
      <c r="O56" s="16"/>
      <c r="P56" s="14"/>
      <c r="Q56" s="14"/>
    </row>
    <row r="57" customFormat="false" ht="15" hidden="false" customHeight="false" outlineLevel="0" collapsed="false">
      <c r="A57" s="14"/>
      <c r="B57" s="14"/>
      <c r="C57" s="14"/>
      <c r="D57" s="14"/>
      <c r="E57" s="14"/>
      <c r="F57" s="15"/>
      <c r="G57" s="11"/>
      <c r="H57" s="11" t="str">
        <f aca="false">IF($F57="","",$F57*$G57)</f>
        <v/>
      </c>
      <c r="I57" s="11"/>
      <c r="J57" s="11"/>
      <c r="K57" s="11" t="str">
        <f aca="false">IF(OR($J57="",$G57=""),"",$J57-$G57)</f>
        <v/>
      </c>
      <c r="L57" s="12" t="str">
        <f aca="false">IF(OR($J57="",$J57=0),"",($J57-$G57)/$J57)</f>
        <v/>
      </c>
      <c r="M57" s="14"/>
      <c r="N57" s="14"/>
      <c r="O57" s="16"/>
      <c r="P57" s="14"/>
      <c r="Q57" s="14"/>
    </row>
    <row r="58" customFormat="false" ht="15" hidden="false" customHeight="false" outlineLevel="0" collapsed="false">
      <c r="A58" s="14"/>
      <c r="B58" s="14"/>
      <c r="C58" s="14"/>
      <c r="D58" s="14"/>
      <c r="E58" s="14"/>
      <c r="F58" s="15"/>
      <c r="G58" s="11"/>
      <c r="H58" s="11" t="str">
        <f aca="false">IF($F58="","",$F58*$G58)</f>
        <v/>
      </c>
      <c r="I58" s="11"/>
      <c r="J58" s="11"/>
      <c r="K58" s="11" t="str">
        <f aca="false">IF(OR($J58="",$G58=""),"",$J58-$G58)</f>
        <v/>
      </c>
      <c r="L58" s="12" t="str">
        <f aca="false">IF(OR($J58="",$J58=0),"",($J58-$G58)/$J58)</f>
        <v/>
      </c>
      <c r="M58" s="14"/>
      <c r="N58" s="14"/>
      <c r="O58" s="16"/>
      <c r="P58" s="14"/>
      <c r="Q58" s="14"/>
    </row>
    <row r="59" customFormat="false" ht="15" hidden="false" customHeight="false" outlineLevel="0" collapsed="false">
      <c r="A59" s="14"/>
      <c r="B59" s="14"/>
      <c r="C59" s="14"/>
      <c r="D59" s="14"/>
      <c r="E59" s="14"/>
      <c r="F59" s="15"/>
      <c r="G59" s="11"/>
      <c r="H59" s="11" t="str">
        <f aca="false">IF($F59="","",$F59*$G59)</f>
        <v/>
      </c>
      <c r="I59" s="11"/>
      <c r="J59" s="11"/>
      <c r="K59" s="11" t="str">
        <f aca="false">IF(OR($J59="",$G59=""),"",$J59-$G59)</f>
        <v/>
      </c>
      <c r="L59" s="12" t="str">
        <f aca="false">IF(OR($J59="",$J59=0),"",($J59-$G59)/$J59)</f>
        <v/>
      </c>
      <c r="M59" s="14"/>
      <c r="N59" s="14"/>
      <c r="O59" s="16"/>
      <c r="P59" s="14"/>
      <c r="Q59" s="14"/>
    </row>
    <row r="60" customFormat="false" ht="15" hidden="false" customHeight="false" outlineLevel="0" collapsed="false">
      <c r="A60" s="14"/>
      <c r="B60" s="14"/>
      <c r="C60" s="14"/>
      <c r="D60" s="14"/>
      <c r="E60" s="14"/>
      <c r="F60" s="15"/>
      <c r="G60" s="11"/>
      <c r="H60" s="11" t="str">
        <f aca="false">IF($F60="","",$F60*$G60)</f>
        <v/>
      </c>
      <c r="I60" s="11"/>
      <c r="J60" s="11"/>
      <c r="K60" s="11" t="str">
        <f aca="false">IF(OR($J60="",$G60=""),"",$J60-$G60)</f>
        <v/>
      </c>
      <c r="L60" s="12" t="str">
        <f aca="false">IF(OR($J60="",$J60=0),"",($J60-$G60)/$J60)</f>
        <v/>
      </c>
      <c r="M60" s="14"/>
      <c r="N60" s="14"/>
      <c r="O60" s="16"/>
      <c r="P60" s="14"/>
      <c r="Q60" s="14"/>
    </row>
    <row r="61" customFormat="false" ht="15" hidden="false" customHeight="false" outlineLevel="0" collapsed="false">
      <c r="A61" s="14"/>
      <c r="B61" s="14"/>
      <c r="C61" s="14"/>
      <c r="D61" s="14"/>
      <c r="E61" s="14"/>
      <c r="F61" s="15"/>
      <c r="G61" s="11"/>
      <c r="H61" s="11" t="str">
        <f aca="false">IF($F61="","",$F61*$G61)</f>
        <v/>
      </c>
      <c r="I61" s="11"/>
      <c r="J61" s="11"/>
      <c r="K61" s="11" t="str">
        <f aca="false">IF(OR($J61="",$G61=""),"",$J61-$G61)</f>
        <v/>
      </c>
      <c r="L61" s="12" t="str">
        <f aca="false">IF(OR($J61="",$J61=0),"",($J61-$G61)/$J61)</f>
        <v/>
      </c>
      <c r="M61" s="14"/>
      <c r="N61" s="14"/>
      <c r="O61" s="16"/>
      <c r="P61" s="14"/>
      <c r="Q61" s="14"/>
    </row>
    <row r="62" customFormat="false" ht="15" hidden="false" customHeight="false" outlineLevel="0" collapsed="false">
      <c r="A62" s="14"/>
      <c r="B62" s="14"/>
      <c r="C62" s="14"/>
      <c r="D62" s="14"/>
      <c r="E62" s="14"/>
      <c r="F62" s="15"/>
      <c r="G62" s="11"/>
      <c r="H62" s="11" t="str">
        <f aca="false">IF($F62="","",$F62*$G62)</f>
        <v/>
      </c>
      <c r="I62" s="11"/>
      <c r="J62" s="11"/>
      <c r="K62" s="11" t="str">
        <f aca="false">IF(OR($J62="",$G62=""),"",$J62-$G62)</f>
        <v/>
      </c>
      <c r="L62" s="12" t="str">
        <f aca="false">IF(OR($J62="",$J62=0),"",($J62-$G62)/$J62)</f>
        <v/>
      </c>
      <c r="M62" s="14"/>
      <c r="N62" s="14"/>
      <c r="O62" s="16"/>
      <c r="P62" s="14"/>
      <c r="Q62" s="14"/>
    </row>
    <row r="63" customFormat="false" ht="15" hidden="false" customHeight="false" outlineLevel="0" collapsed="false">
      <c r="A63" s="14"/>
      <c r="B63" s="14"/>
      <c r="C63" s="14"/>
      <c r="D63" s="14"/>
      <c r="E63" s="14"/>
      <c r="F63" s="15"/>
      <c r="G63" s="11"/>
      <c r="H63" s="11" t="str">
        <f aca="false">IF($F63="","",$F63*$G63)</f>
        <v/>
      </c>
      <c r="I63" s="11"/>
      <c r="J63" s="11"/>
      <c r="K63" s="11" t="str">
        <f aca="false">IF(OR($J63="",$G63=""),"",$J63-$G63)</f>
        <v/>
      </c>
      <c r="L63" s="12" t="str">
        <f aca="false">IF(OR($J63="",$J63=0),"",($J63-$G63)/$J63)</f>
        <v/>
      </c>
      <c r="M63" s="14"/>
      <c r="N63" s="14"/>
      <c r="O63" s="16"/>
      <c r="P63" s="14"/>
      <c r="Q63" s="14"/>
    </row>
    <row r="64" customFormat="false" ht="15" hidden="false" customHeight="false" outlineLevel="0" collapsed="false">
      <c r="A64" s="14"/>
      <c r="B64" s="14"/>
      <c r="C64" s="14"/>
      <c r="D64" s="14"/>
      <c r="E64" s="14"/>
      <c r="F64" s="15"/>
      <c r="G64" s="11"/>
      <c r="H64" s="11" t="str">
        <f aca="false">IF($F64="","",$F64*$G64)</f>
        <v/>
      </c>
      <c r="I64" s="11"/>
      <c r="J64" s="11"/>
      <c r="K64" s="11" t="str">
        <f aca="false">IF(OR($J64="",$G64=""),"",$J64-$G64)</f>
        <v/>
      </c>
      <c r="L64" s="12" t="str">
        <f aca="false">IF(OR($J64="",$J64=0),"",($J64-$G64)/$J64)</f>
        <v/>
      </c>
      <c r="M64" s="14"/>
      <c r="N64" s="14"/>
      <c r="O64" s="16"/>
      <c r="P64" s="14"/>
      <c r="Q64" s="14"/>
    </row>
    <row r="65" customFormat="false" ht="15" hidden="false" customHeight="false" outlineLevel="0" collapsed="false">
      <c r="A65" s="14"/>
      <c r="B65" s="14"/>
      <c r="C65" s="14"/>
      <c r="D65" s="14"/>
      <c r="E65" s="14"/>
      <c r="F65" s="15"/>
      <c r="G65" s="11"/>
      <c r="H65" s="11" t="str">
        <f aca="false">IF($F65="","",$F65*$G65)</f>
        <v/>
      </c>
      <c r="I65" s="11"/>
      <c r="J65" s="11"/>
      <c r="K65" s="11" t="str">
        <f aca="false">IF(OR($J65="",$G65=""),"",$J65-$G65)</f>
        <v/>
      </c>
      <c r="L65" s="12" t="str">
        <f aca="false">IF(OR($J65="",$J65=0),"",($J65-$G65)/$J65)</f>
        <v/>
      </c>
      <c r="M65" s="14"/>
      <c r="N65" s="14"/>
      <c r="O65" s="16"/>
      <c r="P65" s="14"/>
      <c r="Q65" s="14"/>
    </row>
    <row r="66" customFormat="false" ht="15" hidden="false" customHeight="false" outlineLevel="0" collapsed="false">
      <c r="A66" s="14"/>
      <c r="B66" s="14"/>
      <c r="C66" s="14"/>
      <c r="D66" s="14"/>
      <c r="E66" s="14"/>
      <c r="F66" s="15"/>
      <c r="G66" s="11"/>
      <c r="H66" s="11" t="str">
        <f aca="false">IF($F66="","",$F66*$G66)</f>
        <v/>
      </c>
      <c r="I66" s="11"/>
      <c r="J66" s="11"/>
      <c r="K66" s="11" t="str">
        <f aca="false">IF(OR($J66="",$G66=""),"",$J66-$G66)</f>
        <v/>
      </c>
      <c r="L66" s="12" t="str">
        <f aca="false">IF(OR($J66="",$J66=0),"",($J66-$G66)/$J66)</f>
        <v/>
      </c>
      <c r="M66" s="14"/>
      <c r="N66" s="14"/>
      <c r="O66" s="16"/>
      <c r="P66" s="14"/>
      <c r="Q66" s="14"/>
    </row>
    <row r="67" customFormat="false" ht="15" hidden="false" customHeight="false" outlineLevel="0" collapsed="false">
      <c r="A67" s="14"/>
      <c r="B67" s="14"/>
      <c r="C67" s="14"/>
      <c r="D67" s="14"/>
      <c r="E67" s="14"/>
      <c r="F67" s="15"/>
      <c r="G67" s="11"/>
      <c r="H67" s="11" t="str">
        <f aca="false">IF($F67="","",$F67*$G67)</f>
        <v/>
      </c>
      <c r="I67" s="11"/>
      <c r="J67" s="11"/>
      <c r="K67" s="11" t="str">
        <f aca="false">IF(OR($J67="",$G67=""),"",$J67-$G67)</f>
        <v/>
      </c>
      <c r="L67" s="12" t="str">
        <f aca="false">IF(OR($J67="",$J67=0),"",($J67-$G67)/$J67)</f>
        <v/>
      </c>
      <c r="M67" s="14"/>
      <c r="N67" s="14"/>
      <c r="O67" s="16"/>
      <c r="P67" s="14"/>
      <c r="Q67" s="14"/>
    </row>
    <row r="68" customFormat="false" ht="15" hidden="false" customHeight="false" outlineLevel="0" collapsed="false">
      <c r="A68" s="14"/>
      <c r="B68" s="14"/>
      <c r="C68" s="14"/>
      <c r="D68" s="14"/>
      <c r="E68" s="14"/>
      <c r="F68" s="15"/>
      <c r="G68" s="11"/>
      <c r="H68" s="11" t="str">
        <f aca="false">IF($F68="","",$F68*$G68)</f>
        <v/>
      </c>
      <c r="I68" s="11"/>
      <c r="J68" s="11"/>
      <c r="K68" s="11" t="str">
        <f aca="false">IF(OR($J68="",$G68=""),"",$J68-$G68)</f>
        <v/>
      </c>
      <c r="L68" s="12" t="str">
        <f aca="false">IF(OR($J68="",$J68=0),"",($J68-$G68)/$J68)</f>
        <v/>
      </c>
      <c r="M68" s="14"/>
      <c r="N68" s="14"/>
      <c r="O68" s="16"/>
      <c r="P68" s="14"/>
      <c r="Q68" s="14"/>
    </row>
    <row r="69" customFormat="false" ht="15" hidden="false" customHeight="false" outlineLevel="0" collapsed="false">
      <c r="A69" s="14"/>
      <c r="B69" s="14"/>
      <c r="C69" s="14"/>
      <c r="D69" s="14"/>
      <c r="E69" s="14"/>
      <c r="F69" s="15"/>
      <c r="G69" s="11"/>
      <c r="H69" s="11" t="str">
        <f aca="false">IF($F69="","",$F69*$G69)</f>
        <v/>
      </c>
      <c r="I69" s="11"/>
      <c r="J69" s="11"/>
      <c r="K69" s="11" t="str">
        <f aca="false">IF(OR($J69="",$G69=""),"",$J69-$G69)</f>
        <v/>
      </c>
      <c r="L69" s="12" t="str">
        <f aca="false">IF(OR($J69="",$J69=0),"",($J69-$G69)/$J69)</f>
        <v/>
      </c>
      <c r="M69" s="14"/>
      <c r="N69" s="14"/>
      <c r="O69" s="16"/>
      <c r="P69" s="14"/>
      <c r="Q69" s="14"/>
    </row>
    <row r="70" customFormat="false" ht="15" hidden="false" customHeight="false" outlineLevel="0" collapsed="false">
      <c r="A70" s="14"/>
      <c r="B70" s="14"/>
      <c r="C70" s="14"/>
      <c r="D70" s="14"/>
      <c r="E70" s="14"/>
      <c r="F70" s="15"/>
      <c r="G70" s="11"/>
      <c r="H70" s="11" t="str">
        <f aca="false">IF($F70="","",$F70*$G70)</f>
        <v/>
      </c>
      <c r="I70" s="11"/>
      <c r="J70" s="11"/>
      <c r="K70" s="11" t="str">
        <f aca="false">IF(OR($J70="",$G70=""),"",$J70-$G70)</f>
        <v/>
      </c>
      <c r="L70" s="12" t="str">
        <f aca="false">IF(OR($J70="",$J70=0),"",($J70-$G70)/$J70)</f>
        <v/>
      </c>
      <c r="M70" s="14"/>
      <c r="N70" s="14"/>
      <c r="O70" s="16"/>
      <c r="P70" s="14"/>
      <c r="Q70" s="14"/>
    </row>
    <row r="71" customFormat="false" ht="15" hidden="false" customHeight="false" outlineLevel="0" collapsed="false">
      <c r="A71" s="14"/>
      <c r="B71" s="14"/>
      <c r="C71" s="14"/>
      <c r="D71" s="14"/>
      <c r="E71" s="14"/>
      <c r="F71" s="15"/>
      <c r="G71" s="11"/>
      <c r="H71" s="11" t="str">
        <f aca="false">IF($F71="","",$F71*$G71)</f>
        <v/>
      </c>
      <c r="I71" s="11"/>
      <c r="J71" s="11"/>
      <c r="K71" s="11" t="str">
        <f aca="false">IF(OR($J71="",$G71=""),"",$J71-$G71)</f>
        <v/>
      </c>
      <c r="L71" s="12" t="str">
        <f aca="false">IF(OR($J71="",$J71=0),"",($J71-$G71)/$J71)</f>
        <v/>
      </c>
      <c r="M71" s="14"/>
      <c r="N71" s="14"/>
      <c r="O71" s="16"/>
      <c r="P71" s="14"/>
      <c r="Q71" s="14"/>
    </row>
    <row r="72" customFormat="false" ht="15" hidden="false" customHeight="false" outlineLevel="0" collapsed="false">
      <c r="A72" s="14"/>
      <c r="B72" s="14"/>
      <c r="C72" s="14"/>
      <c r="D72" s="14"/>
      <c r="E72" s="14"/>
      <c r="F72" s="15"/>
      <c r="G72" s="11"/>
      <c r="H72" s="11" t="str">
        <f aca="false">IF($F72="","",$F72*$G72)</f>
        <v/>
      </c>
      <c r="I72" s="11"/>
      <c r="J72" s="11"/>
      <c r="K72" s="11" t="str">
        <f aca="false">IF(OR($J72="",$G72=""),"",$J72-$G72)</f>
        <v/>
      </c>
      <c r="L72" s="12" t="str">
        <f aca="false">IF(OR($J72="",$J72=0),"",($J72-$G72)/$J72)</f>
        <v/>
      </c>
      <c r="M72" s="14"/>
      <c r="N72" s="14"/>
      <c r="O72" s="16"/>
      <c r="P72" s="14"/>
      <c r="Q72" s="14"/>
    </row>
    <row r="73" customFormat="false" ht="15" hidden="false" customHeight="false" outlineLevel="0" collapsed="false">
      <c r="A73" s="14"/>
      <c r="B73" s="14"/>
      <c r="C73" s="14"/>
      <c r="D73" s="14"/>
      <c r="E73" s="14"/>
      <c r="F73" s="15"/>
      <c r="G73" s="11"/>
      <c r="H73" s="11" t="str">
        <f aca="false">IF($F73="","",$F73*$G73)</f>
        <v/>
      </c>
      <c r="I73" s="11"/>
      <c r="J73" s="11"/>
      <c r="K73" s="11" t="str">
        <f aca="false">IF(OR($J73="",$G73=""),"",$J73-$G73)</f>
        <v/>
      </c>
      <c r="L73" s="12" t="str">
        <f aca="false">IF(OR($J73="",$J73=0),"",($J73-$G73)/$J73)</f>
        <v/>
      </c>
      <c r="M73" s="14"/>
      <c r="N73" s="14"/>
      <c r="O73" s="16"/>
      <c r="P73" s="14"/>
      <c r="Q73" s="14"/>
    </row>
    <row r="74" customFormat="false" ht="15" hidden="false" customHeight="false" outlineLevel="0" collapsed="false">
      <c r="A74" s="14"/>
      <c r="B74" s="14"/>
      <c r="C74" s="14"/>
      <c r="D74" s="14"/>
      <c r="E74" s="14"/>
      <c r="F74" s="15"/>
      <c r="G74" s="11"/>
      <c r="H74" s="11" t="str">
        <f aca="false">IF($F74="","",$F74*$G74)</f>
        <v/>
      </c>
      <c r="I74" s="11"/>
      <c r="J74" s="11"/>
      <c r="K74" s="11" t="str">
        <f aca="false">IF(OR($J74="",$G74=""),"",$J74-$G74)</f>
        <v/>
      </c>
      <c r="L74" s="12" t="str">
        <f aca="false">IF(OR($J74="",$J74=0),"",($J74-$G74)/$J74)</f>
        <v/>
      </c>
      <c r="M74" s="14"/>
      <c r="N74" s="14"/>
      <c r="O74" s="16"/>
      <c r="P74" s="14"/>
      <c r="Q74" s="14"/>
    </row>
    <row r="75" customFormat="false" ht="15" hidden="false" customHeight="false" outlineLevel="0" collapsed="false">
      <c r="A75" s="14"/>
      <c r="B75" s="14"/>
      <c r="C75" s="14"/>
      <c r="D75" s="14"/>
      <c r="E75" s="14"/>
      <c r="F75" s="15"/>
      <c r="G75" s="11"/>
      <c r="H75" s="11" t="str">
        <f aca="false">IF($F75="","",$F75*$G75)</f>
        <v/>
      </c>
      <c r="I75" s="11"/>
      <c r="J75" s="11"/>
      <c r="K75" s="11" t="str">
        <f aca="false">IF(OR($J75="",$G75=""),"",$J75-$G75)</f>
        <v/>
      </c>
      <c r="L75" s="12" t="str">
        <f aca="false">IF(OR($J75="",$J75=0),"",($J75-$G75)/$J75)</f>
        <v/>
      </c>
      <c r="M75" s="14"/>
      <c r="N75" s="14"/>
      <c r="O75" s="16"/>
      <c r="P75" s="14"/>
      <c r="Q75" s="14"/>
    </row>
    <row r="76" customFormat="false" ht="15" hidden="false" customHeight="false" outlineLevel="0" collapsed="false">
      <c r="A76" s="14"/>
      <c r="B76" s="14"/>
      <c r="C76" s="14"/>
      <c r="D76" s="14"/>
      <c r="E76" s="14"/>
      <c r="F76" s="15"/>
      <c r="G76" s="11"/>
      <c r="H76" s="11" t="str">
        <f aca="false">IF($F76="","",$F76*$G76)</f>
        <v/>
      </c>
      <c r="I76" s="11"/>
      <c r="J76" s="11"/>
      <c r="K76" s="11" t="str">
        <f aca="false">IF(OR($J76="",$G76=""),"",$J76-$G76)</f>
        <v/>
      </c>
      <c r="L76" s="12" t="str">
        <f aca="false">IF(OR($J76="",$J76=0),"",($J76-$G76)/$J76)</f>
        <v/>
      </c>
      <c r="M76" s="14"/>
      <c r="N76" s="14"/>
      <c r="O76" s="16"/>
      <c r="P76" s="14"/>
      <c r="Q76" s="14"/>
    </row>
    <row r="77" customFormat="false" ht="15" hidden="false" customHeight="false" outlineLevel="0" collapsed="false">
      <c r="A77" s="14"/>
      <c r="B77" s="14"/>
      <c r="C77" s="14"/>
      <c r="D77" s="14"/>
      <c r="E77" s="14"/>
      <c r="F77" s="15"/>
      <c r="G77" s="11"/>
      <c r="H77" s="11" t="str">
        <f aca="false">IF($F77="","",$F77*$G77)</f>
        <v/>
      </c>
      <c r="I77" s="11"/>
      <c r="J77" s="11"/>
      <c r="K77" s="11" t="str">
        <f aca="false">IF(OR($J77="",$G77=""),"",$J77-$G77)</f>
        <v/>
      </c>
      <c r="L77" s="12" t="str">
        <f aca="false">IF(OR($J77="",$J77=0),"",($J77-$G77)/$J77)</f>
        <v/>
      </c>
      <c r="M77" s="14"/>
      <c r="N77" s="14"/>
      <c r="O77" s="16"/>
      <c r="P77" s="14"/>
      <c r="Q77" s="14"/>
    </row>
    <row r="78" customFormat="false" ht="15" hidden="false" customHeight="false" outlineLevel="0" collapsed="false">
      <c r="A78" s="14"/>
      <c r="B78" s="14"/>
      <c r="C78" s="14"/>
      <c r="D78" s="14"/>
      <c r="E78" s="14"/>
      <c r="F78" s="15"/>
      <c r="G78" s="11"/>
      <c r="H78" s="11" t="str">
        <f aca="false">IF($F78="","",$F78*$G78)</f>
        <v/>
      </c>
      <c r="I78" s="11"/>
      <c r="J78" s="11"/>
      <c r="K78" s="11" t="str">
        <f aca="false">IF(OR($J78="",$G78=""),"",$J78-$G78)</f>
        <v/>
      </c>
      <c r="L78" s="12" t="str">
        <f aca="false">IF(OR($J78="",$J78=0),"",($J78-$G78)/$J78)</f>
        <v/>
      </c>
      <c r="M78" s="14"/>
      <c r="N78" s="14"/>
      <c r="O78" s="16"/>
      <c r="P78" s="14"/>
      <c r="Q78" s="14"/>
    </row>
    <row r="79" customFormat="false" ht="15" hidden="false" customHeight="false" outlineLevel="0" collapsed="false">
      <c r="A79" s="14"/>
      <c r="B79" s="14"/>
      <c r="C79" s="14"/>
      <c r="D79" s="14"/>
      <c r="E79" s="14"/>
      <c r="F79" s="15"/>
      <c r="G79" s="11"/>
      <c r="H79" s="11" t="str">
        <f aca="false">IF($F79="","",$F79*$G79)</f>
        <v/>
      </c>
      <c r="I79" s="11"/>
      <c r="J79" s="11"/>
      <c r="K79" s="11" t="str">
        <f aca="false">IF(OR($J79="",$G79=""),"",$J79-$G79)</f>
        <v/>
      </c>
      <c r="L79" s="12" t="str">
        <f aca="false">IF(OR($J79="",$J79=0),"",($J79-$G79)/$J79)</f>
        <v/>
      </c>
      <c r="M79" s="14"/>
      <c r="N79" s="14"/>
      <c r="O79" s="16"/>
      <c r="P79" s="14"/>
      <c r="Q79" s="14"/>
    </row>
    <row r="80" customFormat="false" ht="15" hidden="false" customHeight="false" outlineLevel="0" collapsed="false">
      <c r="A80" s="14"/>
      <c r="B80" s="14"/>
      <c r="C80" s="14"/>
      <c r="D80" s="14"/>
      <c r="E80" s="14"/>
      <c r="F80" s="15"/>
      <c r="G80" s="11"/>
      <c r="H80" s="11" t="str">
        <f aca="false">IF($F80="","",$F80*$G80)</f>
        <v/>
      </c>
      <c r="I80" s="11"/>
      <c r="J80" s="11"/>
      <c r="K80" s="11" t="str">
        <f aca="false">IF(OR($J80="",$G80=""),"",$J80-$G80)</f>
        <v/>
      </c>
      <c r="L80" s="12" t="str">
        <f aca="false">IF(OR($J80="",$J80=0),"",($J80-$G80)/$J80)</f>
        <v/>
      </c>
      <c r="M80" s="14"/>
      <c r="N80" s="14"/>
      <c r="O80" s="16"/>
      <c r="P80" s="14"/>
      <c r="Q80" s="14"/>
    </row>
    <row r="81" customFormat="false" ht="15" hidden="false" customHeight="false" outlineLevel="0" collapsed="false">
      <c r="A81" s="14"/>
      <c r="B81" s="14"/>
      <c r="C81" s="14"/>
      <c r="D81" s="14"/>
      <c r="E81" s="14"/>
      <c r="F81" s="15"/>
      <c r="G81" s="11"/>
      <c r="H81" s="11" t="str">
        <f aca="false">IF($F81="","",$F81*$G81)</f>
        <v/>
      </c>
      <c r="I81" s="11"/>
      <c r="J81" s="11"/>
      <c r="K81" s="11" t="str">
        <f aca="false">IF(OR($J81="",$G81=""),"",$J81-$G81)</f>
        <v/>
      </c>
      <c r="L81" s="12" t="str">
        <f aca="false">IF(OR($J81="",$J81=0),"",($J81-$G81)/$J81)</f>
        <v/>
      </c>
      <c r="M81" s="14"/>
      <c r="N81" s="14"/>
      <c r="O81" s="16"/>
      <c r="P81" s="14"/>
      <c r="Q81" s="14"/>
    </row>
    <row r="82" customFormat="false" ht="15" hidden="false" customHeight="false" outlineLevel="0" collapsed="false">
      <c r="A82" s="14"/>
      <c r="B82" s="14"/>
      <c r="C82" s="14"/>
      <c r="D82" s="14"/>
      <c r="E82" s="14"/>
      <c r="F82" s="15"/>
      <c r="G82" s="11"/>
      <c r="H82" s="11" t="str">
        <f aca="false">IF($F82="","",$F82*$G82)</f>
        <v/>
      </c>
      <c r="I82" s="11"/>
      <c r="J82" s="11"/>
      <c r="K82" s="11" t="str">
        <f aca="false">IF(OR($J82="",$G82=""),"",$J82-$G82)</f>
        <v/>
      </c>
      <c r="L82" s="12" t="str">
        <f aca="false">IF(OR($J82="",$J82=0),"",($J82-$G82)/$J82)</f>
        <v/>
      </c>
      <c r="M82" s="14"/>
      <c r="N82" s="14"/>
      <c r="O82" s="16"/>
      <c r="P82" s="14"/>
      <c r="Q82" s="14"/>
    </row>
    <row r="83" customFormat="false" ht="15" hidden="false" customHeight="false" outlineLevel="0" collapsed="false">
      <c r="A83" s="14"/>
      <c r="B83" s="14"/>
      <c r="C83" s="14"/>
      <c r="D83" s="14"/>
      <c r="E83" s="14"/>
      <c r="F83" s="15"/>
      <c r="G83" s="11"/>
      <c r="H83" s="11" t="str">
        <f aca="false">IF($F83="","",$F83*$G83)</f>
        <v/>
      </c>
      <c r="I83" s="11"/>
      <c r="J83" s="11"/>
      <c r="K83" s="11" t="str">
        <f aca="false">IF(OR($J83="",$G83=""),"",$J83-$G83)</f>
        <v/>
      </c>
      <c r="L83" s="12" t="str">
        <f aca="false">IF(OR($J83="",$J83=0),"",($J83-$G83)/$J83)</f>
        <v/>
      </c>
      <c r="M83" s="14"/>
      <c r="N83" s="14"/>
      <c r="O83" s="16"/>
      <c r="P83" s="14"/>
      <c r="Q83" s="14"/>
    </row>
    <row r="84" customFormat="false" ht="15" hidden="false" customHeight="false" outlineLevel="0" collapsed="false">
      <c r="A84" s="14"/>
      <c r="B84" s="14"/>
      <c r="C84" s="14"/>
      <c r="D84" s="14"/>
      <c r="E84" s="14"/>
      <c r="F84" s="15"/>
      <c r="G84" s="11"/>
      <c r="H84" s="11" t="str">
        <f aca="false">IF($F84="","",$F84*$G84)</f>
        <v/>
      </c>
      <c r="I84" s="11"/>
      <c r="J84" s="11"/>
      <c r="K84" s="11" t="str">
        <f aca="false">IF(OR($J84="",$G84=""),"",$J84-$G84)</f>
        <v/>
      </c>
      <c r="L84" s="12" t="str">
        <f aca="false">IF(OR($J84="",$J84=0),"",($J84-$G84)/$J84)</f>
        <v/>
      </c>
      <c r="M84" s="14"/>
      <c r="N84" s="14"/>
      <c r="O84" s="16"/>
      <c r="P84" s="14"/>
      <c r="Q84" s="14"/>
    </row>
    <row r="85" customFormat="false" ht="15" hidden="false" customHeight="false" outlineLevel="0" collapsed="false">
      <c r="A85" s="14"/>
      <c r="B85" s="14"/>
      <c r="C85" s="14"/>
      <c r="D85" s="14"/>
      <c r="E85" s="14"/>
      <c r="F85" s="15"/>
      <c r="G85" s="11"/>
      <c r="H85" s="11" t="str">
        <f aca="false">IF($F85="","",$F85*$G85)</f>
        <v/>
      </c>
      <c r="I85" s="11"/>
      <c r="J85" s="11"/>
      <c r="K85" s="11" t="str">
        <f aca="false">IF(OR($J85="",$G85=""),"",$J85-$G85)</f>
        <v/>
      </c>
      <c r="L85" s="12" t="str">
        <f aca="false">IF(OR($J85="",$J85=0),"",($J85-$G85)/$J85)</f>
        <v/>
      </c>
      <c r="M85" s="14"/>
      <c r="N85" s="14"/>
      <c r="O85" s="16"/>
      <c r="P85" s="14"/>
      <c r="Q85" s="14"/>
    </row>
    <row r="86" customFormat="false" ht="15" hidden="false" customHeight="false" outlineLevel="0" collapsed="false">
      <c r="A86" s="14"/>
      <c r="B86" s="14"/>
      <c r="C86" s="14"/>
      <c r="D86" s="14"/>
      <c r="E86" s="14"/>
      <c r="F86" s="15"/>
      <c r="G86" s="11"/>
      <c r="H86" s="11" t="str">
        <f aca="false">IF($F86="","",$F86*$G86)</f>
        <v/>
      </c>
      <c r="I86" s="11"/>
      <c r="J86" s="11"/>
      <c r="K86" s="11" t="str">
        <f aca="false">IF(OR($J86="",$G86=""),"",$J86-$G86)</f>
        <v/>
      </c>
      <c r="L86" s="12" t="str">
        <f aca="false">IF(OR($J86="",$J86=0),"",($J86-$G86)/$J86)</f>
        <v/>
      </c>
      <c r="M86" s="14"/>
      <c r="N86" s="14"/>
      <c r="O86" s="16"/>
      <c r="P86" s="14"/>
      <c r="Q86" s="14"/>
    </row>
    <row r="87" customFormat="false" ht="15" hidden="false" customHeight="false" outlineLevel="0" collapsed="false">
      <c r="A87" s="14"/>
      <c r="B87" s="14"/>
      <c r="C87" s="14"/>
      <c r="D87" s="14"/>
      <c r="E87" s="14"/>
      <c r="F87" s="15"/>
      <c r="G87" s="11"/>
      <c r="H87" s="11" t="str">
        <f aca="false">IF($F87="","",$F87*$G87)</f>
        <v/>
      </c>
      <c r="I87" s="11"/>
      <c r="J87" s="11"/>
      <c r="K87" s="11" t="str">
        <f aca="false">IF(OR($J87="",$G87=""),"",$J87-$G87)</f>
        <v/>
      </c>
      <c r="L87" s="12" t="str">
        <f aca="false">IF(OR($J87="",$J87=0),"",($J87-$G87)/$J87)</f>
        <v/>
      </c>
      <c r="M87" s="14"/>
      <c r="N87" s="14"/>
      <c r="O87" s="16"/>
      <c r="P87" s="14"/>
      <c r="Q87" s="14"/>
    </row>
    <row r="88" customFormat="false" ht="15" hidden="false" customHeight="false" outlineLevel="0" collapsed="false">
      <c r="A88" s="14"/>
      <c r="B88" s="14"/>
      <c r="C88" s="14"/>
      <c r="D88" s="14"/>
      <c r="E88" s="14"/>
      <c r="F88" s="15"/>
      <c r="G88" s="11"/>
      <c r="H88" s="11" t="str">
        <f aca="false">IF($F88="","",$F88*$G88)</f>
        <v/>
      </c>
      <c r="I88" s="11"/>
      <c r="J88" s="11"/>
      <c r="K88" s="11" t="str">
        <f aca="false">IF(OR($J88="",$G88=""),"",$J88-$G88)</f>
        <v/>
      </c>
      <c r="L88" s="12" t="str">
        <f aca="false">IF(OR($J88="",$J88=0),"",($J88-$G88)/$J88)</f>
        <v/>
      </c>
      <c r="M88" s="14"/>
      <c r="N88" s="14"/>
      <c r="O88" s="16"/>
      <c r="P88" s="14"/>
      <c r="Q88" s="14"/>
    </row>
    <row r="89" customFormat="false" ht="15" hidden="false" customHeight="false" outlineLevel="0" collapsed="false">
      <c r="A89" s="14"/>
      <c r="B89" s="14"/>
      <c r="C89" s="14"/>
      <c r="D89" s="14"/>
      <c r="E89" s="14"/>
      <c r="F89" s="15"/>
      <c r="G89" s="11"/>
      <c r="H89" s="11" t="str">
        <f aca="false">IF($F89="","",$F89*$G89)</f>
        <v/>
      </c>
      <c r="I89" s="11"/>
      <c r="J89" s="11"/>
      <c r="K89" s="11" t="str">
        <f aca="false">IF(OR($J89="",$G89=""),"",$J89-$G89)</f>
        <v/>
      </c>
      <c r="L89" s="12" t="str">
        <f aca="false">IF(OR($J89="",$J89=0),"",($J89-$G89)/$J89)</f>
        <v/>
      </c>
      <c r="M89" s="14"/>
      <c r="N89" s="14"/>
      <c r="O89" s="16"/>
      <c r="P89" s="14"/>
      <c r="Q89" s="14"/>
    </row>
    <row r="90" customFormat="false" ht="15" hidden="false" customHeight="false" outlineLevel="0" collapsed="false">
      <c r="A90" s="14"/>
      <c r="B90" s="14"/>
      <c r="C90" s="14"/>
      <c r="D90" s="14"/>
      <c r="E90" s="14"/>
      <c r="F90" s="15"/>
      <c r="G90" s="11"/>
      <c r="H90" s="11" t="str">
        <f aca="false">IF($F90="","",$F90*$G90)</f>
        <v/>
      </c>
      <c r="I90" s="11"/>
      <c r="J90" s="11"/>
      <c r="K90" s="11" t="str">
        <f aca="false">IF(OR($J90="",$G90=""),"",$J90-$G90)</f>
        <v/>
      </c>
      <c r="L90" s="12" t="str">
        <f aca="false">IF(OR($J90="",$J90=0),"",($J90-$G90)/$J90)</f>
        <v/>
      </c>
      <c r="M90" s="14"/>
      <c r="N90" s="14"/>
      <c r="O90" s="16"/>
      <c r="P90" s="14"/>
      <c r="Q90" s="14"/>
    </row>
    <row r="91" customFormat="false" ht="15" hidden="false" customHeight="false" outlineLevel="0" collapsed="false">
      <c r="A91" s="14"/>
      <c r="B91" s="14"/>
      <c r="C91" s="14"/>
      <c r="D91" s="14"/>
      <c r="E91" s="14"/>
      <c r="F91" s="15"/>
      <c r="G91" s="11"/>
      <c r="H91" s="11" t="str">
        <f aca="false">IF($F91="","",$F91*$G91)</f>
        <v/>
      </c>
      <c r="I91" s="11"/>
      <c r="J91" s="11"/>
      <c r="K91" s="11" t="str">
        <f aca="false">IF(OR($J91="",$G91=""),"",$J91-$G91)</f>
        <v/>
      </c>
      <c r="L91" s="12" t="str">
        <f aca="false">IF(OR($J91="",$J91=0),"",($J91-$G91)/$J91)</f>
        <v/>
      </c>
      <c r="M91" s="14"/>
      <c r="N91" s="14"/>
      <c r="O91" s="16"/>
      <c r="P91" s="14"/>
      <c r="Q91" s="14"/>
    </row>
    <row r="92" customFormat="false" ht="15" hidden="false" customHeight="false" outlineLevel="0" collapsed="false">
      <c r="A92" s="14"/>
      <c r="B92" s="14"/>
      <c r="C92" s="14"/>
      <c r="D92" s="14"/>
      <c r="E92" s="14"/>
      <c r="F92" s="15"/>
      <c r="G92" s="11"/>
      <c r="H92" s="11" t="str">
        <f aca="false">IF($F92="","",$F92*$G92)</f>
        <v/>
      </c>
      <c r="I92" s="11"/>
      <c r="J92" s="11"/>
      <c r="K92" s="11" t="str">
        <f aca="false">IF(OR($J92="",$G92=""),"",$J92-$G92)</f>
        <v/>
      </c>
      <c r="L92" s="12" t="str">
        <f aca="false">IF(OR($J92="",$J92=0),"",($J92-$G92)/$J92)</f>
        <v/>
      </c>
      <c r="M92" s="14"/>
      <c r="N92" s="14"/>
      <c r="O92" s="16"/>
      <c r="P92" s="14"/>
      <c r="Q92" s="14"/>
    </row>
    <row r="93" customFormat="false" ht="15" hidden="false" customHeight="false" outlineLevel="0" collapsed="false">
      <c r="A93" s="14"/>
      <c r="B93" s="14"/>
      <c r="C93" s="14"/>
      <c r="D93" s="14"/>
      <c r="E93" s="14"/>
      <c r="F93" s="15"/>
      <c r="G93" s="11"/>
      <c r="H93" s="11" t="str">
        <f aca="false">IF($F93="","",$F93*$G93)</f>
        <v/>
      </c>
      <c r="I93" s="11"/>
      <c r="J93" s="11"/>
      <c r="K93" s="11" t="str">
        <f aca="false">IF(OR($J93="",$G93=""),"",$J93-$G93)</f>
        <v/>
      </c>
      <c r="L93" s="12" t="str">
        <f aca="false">IF(OR($J93="",$J93=0),"",($J93-$G93)/$J93)</f>
        <v/>
      </c>
      <c r="M93" s="14"/>
      <c r="N93" s="14"/>
      <c r="O93" s="16"/>
      <c r="P93" s="14"/>
      <c r="Q93" s="14"/>
    </row>
    <row r="94" customFormat="false" ht="15" hidden="false" customHeight="false" outlineLevel="0" collapsed="false">
      <c r="A94" s="14"/>
      <c r="B94" s="14"/>
      <c r="C94" s="14"/>
      <c r="D94" s="14"/>
      <c r="E94" s="14"/>
      <c r="F94" s="15"/>
      <c r="G94" s="11"/>
      <c r="H94" s="11" t="str">
        <f aca="false">IF($F94="","",$F94*$G94)</f>
        <v/>
      </c>
      <c r="I94" s="11"/>
      <c r="J94" s="11"/>
      <c r="K94" s="11" t="str">
        <f aca="false">IF(OR($J94="",$G94=""),"",$J94-$G94)</f>
        <v/>
      </c>
      <c r="L94" s="12" t="str">
        <f aca="false">IF(OR($J94="",$J94=0),"",($J94-$G94)/$J94)</f>
        <v/>
      </c>
      <c r="M94" s="14"/>
      <c r="N94" s="14"/>
      <c r="O94" s="16"/>
      <c r="P94" s="14"/>
      <c r="Q94" s="14"/>
    </row>
    <row r="95" customFormat="false" ht="15" hidden="false" customHeight="false" outlineLevel="0" collapsed="false">
      <c r="A95" s="14"/>
      <c r="B95" s="14"/>
      <c r="C95" s="14"/>
      <c r="D95" s="14"/>
      <c r="E95" s="14"/>
      <c r="F95" s="15"/>
      <c r="G95" s="11"/>
      <c r="H95" s="11" t="str">
        <f aca="false">IF($F95="","",$F95*$G95)</f>
        <v/>
      </c>
      <c r="I95" s="11"/>
      <c r="J95" s="11"/>
      <c r="K95" s="11" t="str">
        <f aca="false">IF(OR($J95="",$G95=""),"",$J95-$G95)</f>
        <v/>
      </c>
      <c r="L95" s="12" t="str">
        <f aca="false">IF(OR($J95="",$J95=0),"",($J95-$G95)/$J95)</f>
        <v/>
      </c>
      <c r="M95" s="14"/>
      <c r="N95" s="14"/>
      <c r="O95" s="16"/>
      <c r="P95" s="14"/>
      <c r="Q95" s="14"/>
    </row>
    <row r="96" customFormat="false" ht="15" hidden="false" customHeight="false" outlineLevel="0" collapsed="false">
      <c r="A96" s="14"/>
      <c r="B96" s="14"/>
      <c r="C96" s="14"/>
      <c r="D96" s="14"/>
      <c r="E96" s="14"/>
      <c r="F96" s="15"/>
      <c r="G96" s="11"/>
      <c r="H96" s="11" t="str">
        <f aca="false">IF($F96="","",$F96*$G96)</f>
        <v/>
      </c>
      <c r="I96" s="11"/>
      <c r="J96" s="11"/>
      <c r="K96" s="11" t="str">
        <f aca="false">IF(OR($J96="",$G96=""),"",$J96-$G96)</f>
        <v/>
      </c>
      <c r="L96" s="12" t="str">
        <f aca="false">IF(OR($J96="",$J96=0),"",($J96-$G96)/$J96)</f>
        <v/>
      </c>
      <c r="M96" s="14"/>
      <c r="N96" s="14"/>
      <c r="O96" s="16"/>
      <c r="P96" s="14"/>
      <c r="Q96" s="14"/>
    </row>
    <row r="97" customFormat="false" ht="15" hidden="false" customHeight="false" outlineLevel="0" collapsed="false">
      <c r="A97" s="14"/>
      <c r="B97" s="14"/>
      <c r="C97" s="14"/>
      <c r="D97" s="14"/>
      <c r="E97" s="14"/>
      <c r="F97" s="15"/>
      <c r="G97" s="11"/>
      <c r="H97" s="11" t="str">
        <f aca="false">IF($F97="","",$F97*$G97)</f>
        <v/>
      </c>
      <c r="I97" s="11"/>
      <c r="J97" s="11"/>
      <c r="K97" s="11" t="str">
        <f aca="false">IF(OR($J97="",$G97=""),"",$J97-$G97)</f>
        <v/>
      </c>
      <c r="L97" s="12" t="str">
        <f aca="false">IF(OR($J97="",$J97=0),"",($J97-$G97)/$J97)</f>
        <v/>
      </c>
      <c r="M97" s="14"/>
      <c r="N97" s="14"/>
      <c r="O97" s="16"/>
      <c r="P97" s="14"/>
      <c r="Q97" s="14"/>
    </row>
    <row r="98" customFormat="false" ht="15" hidden="false" customHeight="false" outlineLevel="0" collapsed="false">
      <c r="A98" s="14"/>
      <c r="B98" s="14"/>
      <c r="C98" s="14"/>
      <c r="D98" s="14"/>
      <c r="E98" s="14"/>
      <c r="F98" s="15"/>
      <c r="G98" s="11"/>
      <c r="H98" s="11" t="str">
        <f aca="false">IF($F98="","",$F98*$G98)</f>
        <v/>
      </c>
      <c r="I98" s="11"/>
      <c r="J98" s="11"/>
      <c r="K98" s="11" t="str">
        <f aca="false">IF(OR($J98="",$G98=""),"",$J98-$G98)</f>
        <v/>
      </c>
      <c r="L98" s="12" t="str">
        <f aca="false">IF(OR($J98="",$J98=0),"",($J98-$G98)/$J98)</f>
        <v/>
      </c>
      <c r="M98" s="14"/>
      <c r="N98" s="14"/>
      <c r="O98" s="16"/>
      <c r="P98" s="14"/>
      <c r="Q98" s="14"/>
    </row>
    <row r="99" customFormat="false" ht="15" hidden="false" customHeight="false" outlineLevel="0" collapsed="false">
      <c r="A99" s="14"/>
      <c r="B99" s="14"/>
      <c r="C99" s="14"/>
      <c r="D99" s="14"/>
      <c r="E99" s="14"/>
      <c r="F99" s="15"/>
      <c r="G99" s="11"/>
      <c r="H99" s="11" t="str">
        <f aca="false">IF($F99="","",$F99*$G99)</f>
        <v/>
      </c>
      <c r="I99" s="11"/>
      <c r="J99" s="11"/>
      <c r="K99" s="11" t="str">
        <f aca="false">IF(OR($J99="",$G99=""),"",$J99-$G99)</f>
        <v/>
      </c>
      <c r="L99" s="12" t="str">
        <f aca="false">IF(OR($J99="",$J99=0),"",($J99-$G99)/$J99)</f>
        <v/>
      </c>
      <c r="M99" s="14"/>
      <c r="N99" s="14"/>
      <c r="O99" s="16"/>
      <c r="P99" s="14"/>
      <c r="Q99" s="14"/>
    </row>
    <row r="100" customFormat="false" ht="15" hidden="false" customHeight="false" outlineLevel="0" collapsed="false">
      <c r="A100" s="14"/>
      <c r="B100" s="14"/>
      <c r="C100" s="14"/>
      <c r="D100" s="14"/>
      <c r="E100" s="14"/>
      <c r="F100" s="15"/>
      <c r="G100" s="11"/>
      <c r="H100" s="11" t="str">
        <f aca="false">IF($F100="","",$F100*$G100)</f>
        <v/>
      </c>
      <c r="I100" s="11"/>
      <c r="J100" s="11"/>
      <c r="K100" s="11" t="str">
        <f aca="false">IF(OR($J100="",$G100=""),"",$J100-$G100)</f>
        <v/>
      </c>
      <c r="L100" s="12" t="str">
        <f aca="false">IF(OR($J100="",$J100=0),"",($J100-$G100)/$J100)</f>
        <v/>
      </c>
      <c r="M100" s="14"/>
      <c r="N100" s="14"/>
      <c r="O100" s="16"/>
      <c r="P100" s="14"/>
      <c r="Q100" s="14"/>
    </row>
    <row r="101" customFormat="false" ht="15" hidden="false" customHeight="false" outlineLevel="0" collapsed="false">
      <c r="A101" s="14"/>
      <c r="B101" s="14"/>
      <c r="C101" s="14"/>
      <c r="D101" s="14"/>
      <c r="E101" s="14"/>
      <c r="F101" s="15"/>
      <c r="G101" s="11"/>
      <c r="H101" s="11" t="str">
        <f aca="false">IF($F101="","",$F101*$G101)</f>
        <v/>
      </c>
      <c r="I101" s="11"/>
      <c r="J101" s="11"/>
      <c r="K101" s="11" t="str">
        <f aca="false">IF(OR($J101="",$G101=""),"",$J101-$G101)</f>
        <v/>
      </c>
      <c r="L101" s="12" t="str">
        <f aca="false">IF(OR($J101="",$J101=0),"",($J101-$G101)/$J101)</f>
        <v/>
      </c>
      <c r="M101" s="14"/>
      <c r="N101" s="14"/>
      <c r="O101" s="16"/>
      <c r="P101" s="14"/>
      <c r="Q101" s="14"/>
    </row>
    <row r="102" customFormat="false" ht="15" hidden="false" customHeight="false" outlineLevel="0" collapsed="false">
      <c r="A102" s="14"/>
      <c r="B102" s="14"/>
      <c r="C102" s="14"/>
      <c r="D102" s="14"/>
      <c r="E102" s="14"/>
      <c r="F102" s="15"/>
      <c r="G102" s="11"/>
      <c r="H102" s="11" t="str">
        <f aca="false">IF($F102="","",$F102*$G102)</f>
        <v/>
      </c>
      <c r="I102" s="11"/>
      <c r="J102" s="11"/>
      <c r="K102" s="11" t="str">
        <f aca="false">IF(OR($J102="",$G102=""),"",$J102-$G102)</f>
        <v/>
      </c>
      <c r="L102" s="12" t="str">
        <f aca="false">IF(OR($J102="",$J102=0),"",($J102-$G102)/$J102)</f>
        <v/>
      </c>
      <c r="M102" s="14"/>
      <c r="N102" s="14"/>
      <c r="O102" s="16"/>
      <c r="P102" s="14"/>
      <c r="Q102" s="14"/>
    </row>
    <row r="103" customFormat="false" ht="15" hidden="false" customHeight="false" outlineLevel="0" collapsed="false">
      <c r="A103" s="14"/>
      <c r="B103" s="14"/>
      <c r="C103" s="14"/>
      <c r="D103" s="14"/>
      <c r="E103" s="14"/>
      <c r="F103" s="15"/>
      <c r="G103" s="11"/>
      <c r="H103" s="11" t="str">
        <f aca="false">IF($F103="","",$F103*$G103)</f>
        <v/>
      </c>
      <c r="I103" s="11"/>
      <c r="J103" s="11"/>
      <c r="K103" s="11" t="str">
        <f aca="false">IF(OR($J103="",$G103=""),"",$J103-$G103)</f>
        <v/>
      </c>
      <c r="L103" s="12" t="str">
        <f aca="false">IF(OR($J103="",$J103=0),"",($J103-$G103)/$J103)</f>
        <v/>
      </c>
      <c r="M103" s="14"/>
      <c r="N103" s="14"/>
      <c r="O103" s="16"/>
      <c r="P103" s="14"/>
      <c r="Q103" s="14"/>
    </row>
    <row r="104" customFormat="false" ht="15" hidden="false" customHeight="false" outlineLevel="0" collapsed="false">
      <c r="A104" s="14"/>
      <c r="B104" s="14"/>
      <c r="C104" s="14"/>
      <c r="D104" s="14"/>
      <c r="E104" s="14"/>
      <c r="F104" s="15"/>
      <c r="G104" s="11"/>
      <c r="H104" s="11" t="str">
        <f aca="false">IF($F104="","",$F104*$G104)</f>
        <v/>
      </c>
      <c r="I104" s="11"/>
      <c r="J104" s="11"/>
      <c r="K104" s="11" t="str">
        <f aca="false">IF(OR($J104="",$G104=""),"",$J104-$G104)</f>
        <v/>
      </c>
      <c r="L104" s="12" t="str">
        <f aca="false">IF(OR($J104="",$J104=0),"",($J104-$G104)/$J104)</f>
        <v/>
      </c>
      <c r="M104" s="14"/>
      <c r="N104" s="14"/>
      <c r="O104" s="16"/>
      <c r="P104" s="14"/>
      <c r="Q104" s="14"/>
    </row>
    <row r="105" customFormat="false" ht="15" hidden="false" customHeight="false" outlineLevel="0" collapsed="false">
      <c r="A105" s="14"/>
      <c r="B105" s="14"/>
      <c r="C105" s="14"/>
      <c r="D105" s="14"/>
      <c r="E105" s="14"/>
      <c r="F105" s="15"/>
      <c r="G105" s="11"/>
      <c r="H105" s="11" t="str">
        <f aca="false">IF($F105="","",$F105*$G105)</f>
        <v/>
      </c>
      <c r="I105" s="11"/>
      <c r="J105" s="11"/>
      <c r="K105" s="11" t="str">
        <f aca="false">IF(OR($J105="",$G105=""),"",$J105-$G105)</f>
        <v/>
      </c>
      <c r="L105" s="12" t="str">
        <f aca="false">IF(OR($J105="",$J105=0),"",($J105-$G105)/$J105)</f>
        <v/>
      </c>
      <c r="M105" s="14"/>
      <c r="N105" s="14"/>
      <c r="O105" s="16"/>
      <c r="P105" s="14"/>
      <c r="Q105" s="14"/>
    </row>
    <row r="106" customFormat="false" ht="15" hidden="false" customHeight="false" outlineLevel="0" collapsed="false">
      <c r="A106" s="14"/>
      <c r="B106" s="14"/>
      <c r="C106" s="14"/>
      <c r="D106" s="14"/>
      <c r="E106" s="14"/>
      <c r="F106" s="15"/>
      <c r="G106" s="11"/>
      <c r="H106" s="11" t="str">
        <f aca="false">IF($F106="","",$F106*$G106)</f>
        <v/>
      </c>
      <c r="I106" s="11"/>
      <c r="J106" s="11"/>
      <c r="K106" s="11" t="str">
        <f aca="false">IF(OR($J106="",$G106=""),"",$J106-$G106)</f>
        <v/>
      </c>
      <c r="L106" s="12" t="str">
        <f aca="false">IF(OR($J106="",$J106=0),"",($J106-$G106)/$J106)</f>
        <v/>
      </c>
      <c r="M106" s="14"/>
      <c r="N106" s="14"/>
      <c r="O106" s="16"/>
      <c r="P106" s="14"/>
      <c r="Q106" s="14"/>
    </row>
    <row r="107" customFormat="false" ht="15" hidden="false" customHeight="false" outlineLevel="0" collapsed="false">
      <c r="A107" s="14"/>
      <c r="B107" s="14"/>
      <c r="C107" s="14"/>
      <c r="D107" s="14"/>
      <c r="E107" s="14"/>
      <c r="F107" s="15"/>
      <c r="G107" s="11"/>
      <c r="H107" s="11" t="str">
        <f aca="false">IF($F107="","",$F107*$G107)</f>
        <v/>
      </c>
      <c r="I107" s="11"/>
      <c r="J107" s="11"/>
      <c r="K107" s="11" t="str">
        <f aca="false">IF(OR($J107="",$G107=""),"",$J107-$G107)</f>
        <v/>
      </c>
      <c r="L107" s="12" t="str">
        <f aca="false">IF(OR($J107="",$J107=0),"",($J107-$G107)/$J107)</f>
        <v/>
      </c>
      <c r="M107" s="14"/>
      <c r="N107" s="14"/>
      <c r="O107" s="16"/>
      <c r="P107" s="14"/>
      <c r="Q107" s="14"/>
    </row>
    <row r="108" customFormat="false" ht="15" hidden="false" customHeight="false" outlineLevel="0" collapsed="false">
      <c r="A108" s="14"/>
      <c r="B108" s="14"/>
      <c r="C108" s="14"/>
      <c r="D108" s="14"/>
      <c r="E108" s="14"/>
      <c r="F108" s="15"/>
      <c r="G108" s="11"/>
      <c r="H108" s="11" t="str">
        <f aca="false">IF($F108="","",$F108*$G108)</f>
        <v/>
      </c>
      <c r="I108" s="11"/>
      <c r="J108" s="11"/>
      <c r="K108" s="11" t="str">
        <f aca="false">IF(OR($J108="",$G108=""),"",$J108-$G108)</f>
        <v/>
      </c>
      <c r="L108" s="12" t="str">
        <f aca="false">IF(OR($J108="",$J108=0),"",($J108-$G108)/$J108)</f>
        <v/>
      </c>
      <c r="M108" s="14"/>
      <c r="N108" s="14"/>
      <c r="O108" s="16"/>
      <c r="P108" s="14"/>
      <c r="Q108" s="14"/>
    </row>
    <row r="109" customFormat="false" ht="15" hidden="false" customHeight="false" outlineLevel="0" collapsed="false">
      <c r="A109" s="14"/>
      <c r="B109" s="14"/>
      <c r="C109" s="14"/>
      <c r="D109" s="14"/>
      <c r="E109" s="14"/>
      <c r="F109" s="15"/>
      <c r="G109" s="11"/>
      <c r="H109" s="11" t="str">
        <f aca="false">IF($F109="","",$F109*$G109)</f>
        <v/>
      </c>
      <c r="I109" s="11"/>
      <c r="J109" s="11"/>
      <c r="K109" s="11" t="str">
        <f aca="false">IF(OR($J109="",$G109=""),"",$J109-$G109)</f>
        <v/>
      </c>
      <c r="L109" s="12" t="str">
        <f aca="false">IF(OR($J109="",$J109=0),"",($J109-$G109)/$J109)</f>
        <v/>
      </c>
      <c r="M109" s="14"/>
      <c r="N109" s="14"/>
      <c r="O109" s="16"/>
      <c r="P109" s="14"/>
      <c r="Q109" s="14"/>
    </row>
    <row r="110" customFormat="false" ht="15" hidden="false" customHeight="false" outlineLevel="0" collapsed="false">
      <c r="A110" s="14"/>
      <c r="B110" s="14"/>
      <c r="C110" s="14"/>
      <c r="D110" s="14"/>
      <c r="E110" s="14"/>
      <c r="F110" s="15"/>
      <c r="G110" s="11"/>
      <c r="H110" s="11" t="str">
        <f aca="false">IF($F110="","",$F110*$G110)</f>
        <v/>
      </c>
      <c r="I110" s="11"/>
      <c r="J110" s="11"/>
      <c r="K110" s="11" t="str">
        <f aca="false">IF(OR($J110="",$G110=""),"",$J110-$G110)</f>
        <v/>
      </c>
      <c r="L110" s="12" t="str">
        <f aca="false">IF(OR($J110="",$J110=0),"",($J110-$G110)/$J110)</f>
        <v/>
      </c>
      <c r="M110" s="14"/>
      <c r="N110" s="14"/>
      <c r="O110" s="16"/>
      <c r="P110" s="14"/>
      <c r="Q110" s="14"/>
    </row>
    <row r="111" customFormat="false" ht="15" hidden="false" customHeight="false" outlineLevel="0" collapsed="false">
      <c r="A111" s="14"/>
      <c r="B111" s="14"/>
      <c r="C111" s="14"/>
      <c r="D111" s="14"/>
      <c r="E111" s="14"/>
      <c r="F111" s="15"/>
      <c r="G111" s="11"/>
      <c r="H111" s="11" t="str">
        <f aca="false">IF($F111="","",$F111*$G111)</f>
        <v/>
      </c>
      <c r="I111" s="11"/>
      <c r="J111" s="11"/>
      <c r="K111" s="11" t="str">
        <f aca="false">IF(OR($J111="",$G111=""),"",$J111-$G111)</f>
        <v/>
      </c>
      <c r="L111" s="12" t="str">
        <f aca="false">IF(OR($J111="",$J111=0),"",($J111-$G111)/$J111)</f>
        <v/>
      </c>
      <c r="M111" s="14"/>
      <c r="N111" s="14"/>
      <c r="O111" s="16"/>
      <c r="P111" s="14"/>
      <c r="Q111" s="14"/>
    </row>
    <row r="112" customFormat="false" ht="15" hidden="false" customHeight="false" outlineLevel="0" collapsed="false">
      <c r="A112" s="14"/>
      <c r="B112" s="14"/>
      <c r="C112" s="14"/>
      <c r="D112" s="14"/>
      <c r="E112" s="14"/>
      <c r="F112" s="15"/>
      <c r="G112" s="11"/>
      <c r="H112" s="11" t="str">
        <f aca="false">IF($F112="","",$F112*$G112)</f>
        <v/>
      </c>
      <c r="I112" s="11"/>
      <c r="J112" s="11"/>
      <c r="K112" s="11" t="str">
        <f aca="false">IF(OR($J112="",$G112=""),"",$J112-$G112)</f>
        <v/>
      </c>
      <c r="L112" s="12" t="str">
        <f aca="false">IF(OR($J112="",$J112=0),"",($J112-$G112)/$J112)</f>
        <v/>
      </c>
      <c r="M112" s="14"/>
      <c r="N112" s="14"/>
      <c r="O112" s="16"/>
      <c r="P112" s="14"/>
      <c r="Q112" s="14"/>
    </row>
    <row r="113" customFormat="false" ht="15" hidden="false" customHeight="false" outlineLevel="0" collapsed="false">
      <c r="A113" s="14"/>
      <c r="B113" s="14"/>
      <c r="C113" s="14"/>
      <c r="D113" s="14"/>
      <c r="E113" s="14"/>
      <c r="F113" s="15"/>
      <c r="G113" s="11"/>
      <c r="H113" s="11" t="str">
        <f aca="false">IF($F113="","",$F113*$G113)</f>
        <v/>
      </c>
      <c r="I113" s="11"/>
      <c r="J113" s="11"/>
      <c r="K113" s="11" t="str">
        <f aca="false">IF(OR($J113="",$G113=""),"",$J113-$G113)</f>
        <v/>
      </c>
      <c r="L113" s="12" t="str">
        <f aca="false">IF(OR($J113="",$J113=0),"",($J113-$G113)/$J113)</f>
        <v/>
      </c>
      <c r="M113" s="14"/>
      <c r="N113" s="14"/>
      <c r="O113" s="16"/>
      <c r="P113" s="14"/>
      <c r="Q113" s="14"/>
    </row>
    <row r="114" customFormat="false" ht="15" hidden="false" customHeight="false" outlineLevel="0" collapsed="false">
      <c r="A114" s="14"/>
      <c r="B114" s="14"/>
      <c r="C114" s="14"/>
      <c r="D114" s="14"/>
      <c r="E114" s="14"/>
      <c r="F114" s="15"/>
      <c r="G114" s="11"/>
      <c r="H114" s="11" t="str">
        <f aca="false">IF($F114="","",$F114*$G114)</f>
        <v/>
      </c>
      <c r="I114" s="11"/>
      <c r="J114" s="11"/>
      <c r="K114" s="11" t="str">
        <f aca="false">IF(OR($J114="",$G114=""),"",$J114-$G114)</f>
        <v/>
      </c>
      <c r="L114" s="12" t="str">
        <f aca="false">IF(OR($J114="",$J114=0),"",($J114-$G114)/$J114)</f>
        <v/>
      </c>
      <c r="M114" s="14"/>
      <c r="N114" s="14"/>
      <c r="O114" s="16"/>
      <c r="P114" s="14"/>
      <c r="Q114" s="14"/>
    </row>
    <row r="115" customFormat="false" ht="15" hidden="false" customHeight="false" outlineLevel="0" collapsed="false">
      <c r="A115" s="14"/>
      <c r="B115" s="14"/>
      <c r="C115" s="14"/>
      <c r="D115" s="14"/>
      <c r="E115" s="14"/>
      <c r="F115" s="15"/>
      <c r="G115" s="11"/>
      <c r="H115" s="11" t="str">
        <f aca="false">IF($F115="","",$F115*$G115)</f>
        <v/>
      </c>
      <c r="I115" s="11"/>
      <c r="J115" s="11"/>
      <c r="K115" s="11" t="str">
        <f aca="false">IF(OR($J115="",$G115=""),"",$J115-$G115)</f>
        <v/>
      </c>
      <c r="L115" s="12" t="str">
        <f aca="false">IF(OR($J115="",$J115=0),"",($J115-$G115)/$J115)</f>
        <v/>
      </c>
      <c r="M115" s="14"/>
      <c r="N115" s="14"/>
      <c r="O115" s="16"/>
      <c r="P115" s="14"/>
      <c r="Q115" s="14"/>
    </row>
    <row r="116" customFormat="false" ht="15" hidden="false" customHeight="false" outlineLevel="0" collapsed="false">
      <c r="A116" s="14"/>
      <c r="B116" s="14"/>
      <c r="C116" s="14"/>
      <c r="D116" s="14"/>
      <c r="E116" s="14"/>
      <c r="F116" s="15"/>
      <c r="G116" s="11"/>
      <c r="H116" s="11" t="str">
        <f aca="false">IF($F116="","",$F116*$G116)</f>
        <v/>
      </c>
      <c r="I116" s="11"/>
      <c r="J116" s="11"/>
      <c r="K116" s="11" t="str">
        <f aca="false">IF(OR($J116="",$G116=""),"",$J116-$G116)</f>
        <v/>
      </c>
      <c r="L116" s="12" t="str">
        <f aca="false">IF(OR($J116="",$J116=0),"",($J116-$G116)/$J116)</f>
        <v/>
      </c>
      <c r="M116" s="14"/>
      <c r="N116" s="14"/>
      <c r="O116" s="16"/>
      <c r="P116" s="14"/>
      <c r="Q116" s="14"/>
    </row>
    <row r="117" customFormat="false" ht="15" hidden="false" customHeight="false" outlineLevel="0" collapsed="false">
      <c r="A117" s="14"/>
      <c r="B117" s="14"/>
      <c r="C117" s="14"/>
      <c r="D117" s="14"/>
      <c r="E117" s="14"/>
      <c r="F117" s="15"/>
      <c r="G117" s="11"/>
      <c r="H117" s="11" t="str">
        <f aca="false">IF($F117="","",$F117*$G117)</f>
        <v/>
      </c>
      <c r="I117" s="11"/>
      <c r="J117" s="11"/>
      <c r="K117" s="11" t="str">
        <f aca="false">IF(OR($J117="",$G117=""),"",$J117-$G117)</f>
        <v/>
      </c>
      <c r="L117" s="12" t="str">
        <f aca="false">IF(OR($J117="",$J117=0),"",($J117-$G117)/$J117)</f>
        <v/>
      </c>
      <c r="M117" s="14"/>
      <c r="N117" s="14"/>
      <c r="O117" s="16"/>
      <c r="P117" s="14"/>
      <c r="Q117" s="14"/>
    </row>
    <row r="118" customFormat="false" ht="15" hidden="false" customHeight="false" outlineLevel="0" collapsed="false">
      <c r="A118" s="14"/>
      <c r="B118" s="14"/>
      <c r="C118" s="14"/>
      <c r="D118" s="14"/>
      <c r="E118" s="14"/>
      <c r="F118" s="15"/>
      <c r="G118" s="11"/>
      <c r="H118" s="11" t="str">
        <f aca="false">IF($F118="","",$F118*$G118)</f>
        <v/>
      </c>
      <c r="I118" s="11"/>
      <c r="J118" s="11"/>
      <c r="K118" s="11" t="str">
        <f aca="false">IF(OR($J118="",$G118=""),"",$J118-$G118)</f>
        <v/>
      </c>
      <c r="L118" s="12" t="str">
        <f aca="false">IF(OR($J118="",$J118=0),"",($J118-$G118)/$J118)</f>
        <v/>
      </c>
      <c r="M118" s="14"/>
      <c r="N118" s="14"/>
      <c r="O118" s="16"/>
      <c r="P118" s="14"/>
      <c r="Q118" s="14"/>
    </row>
    <row r="119" customFormat="false" ht="15" hidden="false" customHeight="false" outlineLevel="0" collapsed="false">
      <c r="A119" s="14"/>
      <c r="B119" s="14"/>
      <c r="C119" s="14"/>
      <c r="D119" s="14"/>
      <c r="E119" s="14"/>
      <c r="F119" s="15"/>
      <c r="G119" s="11"/>
      <c r="H119" s="11" t="str">
        <f aca="false">IF($F119="","",$F119*$G119)</f>
        <v/>
      </c>
      <c r="I119" s="11"/>
      <c r="J119" s="11"/>
      <c r="K119" s="11" t="str">
        <f aca="false">IF(OR($J119="",$G119=""),"",$J119-$G119)</f>
        <v/>
      </c>
      <c r="L119" s="12" t="str">
        <f aca="false">IF(OR($J119="",$J119=0),"",($J119-$G119)/$J119)</f>
        <v/>
      </c>
      <c r="M119" s="14"/>
      <c r="N119" s="14"/>
      <c r="O119" s="16"/>
      <c r="P119" s="14"/>
      <c r="Q119" s="14"/>
    </row>
    <row r="120" customFormat="false" ht="15" hidden="false" customHeight="false" outlineLevel="0" collapsed="false">
      <c r="A120" s="14"/>
      <c r="B120" s="14"/>
      <c r="C120" s="14"/>
      <c r="D120" s="14"/>
      <c r="E120" s="14"/>
      <c r="F120" s="15"/>
      <c r="G120" s="11"/>
      <c r="H120" s="11" t="str">
        <f aca="false">IF($F120="","",$F120*$G120)</f>
        <v/>
      </c>
      <c r="I120" s="11"/>
      <c r="J120" s="11"/>
      <c r="K120" s="11" t="str">
        <f aca="false">IF(OR($J120="",$G120=""),"",$J120-$G120)</f>
        <v/>
      </c>
      <c r="L120" s="12" t="str">
        <f aca="false">IF(OR($J120="",$J120=0),"",($J120-$G120)/$J120)</f>
        <v/>
      </c>
      <c r="M120" s="14"/>
      <c r="N120" s="14"/>
      <c r="O120" s="16"/>
      <c r="P120" s="14"/>
      <c r="Q120" s="14"/>
    </row>
    <row r="121" customFormat="false" ht="15" hidden="false" customHeight="false" outlineLevel="0" collapsed="false">
      <c r="A121" s="14"/>
      <c r="B121" s="14"/>
      <c r="C121" s="14"/>
      <c r="D121" s="14"/>
      <c r="E121" s="14"/>
      <c r="F121" s="15"/>
      <c r="G121" s="11"/>
      <c r="H121" s="11" t="str">
        <f aca="false">IF($F121="","",$F121*$G121)</f>
        <v/>
      </c>
      <c r="I121" s="11"/>
      <c r="J121" s="11"/>
      <c r="K121" s="11" t="str">
        <f aca="false">IF(OR($J121="",$G121=""),"",$J121-$G121)</f>
        <v/>
      </c>
      <c r="L121" s="12" t="str">
        <f aca="false">IF(OR($J121="",$J121=0),"",($J121-$G121)/$J121)</f>
        <v/>
      </c>
      <c r="M121" s="14"/>
      <c r="N121" s="14"/>
      <c r="O121" s="16"/>
      <c r="P121" s="14"/>
      <c r="Q121" s="14"/>
    </row>
    <row r="122" customFormat="false" ht="15" hidden="false" customHeight="false" outlineLevel="0" collapsed="false">
      <c r="A122" s="14"/>
      <c r="B122" s="14"/>
      <c r="C122" s="14"/>
      <c r="D122" s="14"/>
      <c r="E122" s="14"/>
      <c r="F122" s="15"/>
      <c r="G122" s="11"/>
      <c r="H122" s="11" t="str">
        <f aca="false">IF($F122="","",$F122*$G122)</f>
        <v/>
      </c>
      <c r="I122" s="11"/>
      <c r="J122" s="11"/>
      <c r="K122" s="11" t="str">
        <f aca="false">IF(OR($J122="",$G122=""),"",$J122-$G122)</f>
        <v/>
      </c>
      <c r="L122" s="12" t="str">
        <f aca="false">IF(OR($J122="",$J122=0),"",($J122-$G122)/$J122)</f>
        <v/>
      </c>
      <c r="M122" s="14"/>
      <c r="N122" s="14"/>
      <c r="O122" s="16"/>
      <c r="P122" s="14"/>
      <c r="Q122" s="14"/>
    </row>
    <row r="123" customFormat="false" ht="15" hidden="false" customHeight="false" outlineLevel="0" collapsed="false">
      <c r="A123" s="14"/>
      <c r="B123" s="14"/>
      <c r="C123" s="14"/>
      <c r="D123" s="14"/>
      <c r="E123" s="14"/>
      <c r="F123" s="15"/>
      <c r="G123" s="11"/>
      <c r="H123" s="11" t="str">
        <f aca="false">IF($F123="","",$F123*$G123)</f>
        <v/>
      </c>
      <c r="I123" s="11"/>
      <c r="J123" s="11"/>
      <c r="K123" s="11" t="str">
        <f aca="false">IF(OR($J123="",$G123=""),"",$J123-$G123)</f>
        <v/>
      </c>
      <c r="L123" s="12" t="str">
        <f aca="false">IF(OR($J123="",$J123=0),"",($J123-$G123)/$J123)</f>
        <v/>
      </c>
      <c r="M123" s="14"/>
      <c r="N123" s="14"/>
      <c r="O123" s="16"/>
      <c r="P123" s="14"/>
      <c r="Q123" s="14"/>
    </row>
    <row r="124" customFormat="false" ht="15" hidden="false" customHeight="false" outlineLevel="0" collapsed="false">
      <c r="A124" s="14"/>
      <c r="B124" s="14"/>
      <c r="C124" s="14"/>
      <c r="D124" s="14"/>
      <c r="E124" s="14"/>
      <c r="F124" s="15"/>
      <c r="G124" s="11"/>
      <c r="H124" s="11" t="str">
        <f aca="false">IF($F124="","",$F124*$G124)</f>
        <v/>
      </c>
      <c r="I124" s="11"/>
      <c r="J124" s="11"/>
      <c r="K124" s="11" t="str">
        <f aca="false">IF(OR($J124="",$G124=""),"",$J124-$G124)</f>
        <v/>
      </c>
      <c r="L124" s="12" t="str">
        <f aca="false">IF(OR($J124="",$J124=0),"",($J124-$G124)/$J124)</f>
        <v/>
      </c>
      <c r="M124" s="14"/>
      <c r="N124" s="14"/>
      <c r="O124" s="16"/>
      <c r="P124" s="14"/>
      <c r="Q124" s="14"/>
    </row>
    <row r="125" customFormat="false" ht="15" hidden="false" customHeight="false" outlineLevel="0" collapsed="false">
      <c r="A125" s="14"/>
      <c r="B125" s="14"/>
      <c r="C125" s="14"/>
      <c r="D125" s="14"/>
      <c r="E125" s="14"/>
      <c r="F125" s="15"/>
      <c r="G125" s="11"/>
      <c r="H125" s="11" t="str">
        <f aca="false">IF($F125="","",$F125*$G125)</f>
        <v/>
      </c>
      <c r="I125" s="11"/>
      <c r="J125" s="11"/>
      <c r="K125" s="11" t="str">
        <f aca="false">IF(OR($J125="",$G125=""),"",$J125-$G125)</f>
        <v/>
      </c>
      <c r="L125" s="12" t="str">
        <f aca="false">IF(OR($J125="",$J125=0),"",($J125-$G125)/$J125)</f>
        <v/>
      </c>
      <c r="M125" s="14"/>
      <c r="N125" s="14"/>
      <c r="O125" s="16"/>
      <c r="P125" s="14"/>
      <c r="Q125" s="14"/>
    </row>
    <row r="126" customFormat="false" ht="15" hidden="false" customHeight="false" outlineLevel="0" collapsed="false">
      <c r="A126" s="14"/>
      <c r="B126" s="14"/>
      <c r="C126" s="14"/>
      <c r="D126" s="14"/>
      <c r="E126" s="14"/>
      <c r="F126" s="15"/>
      <c r="G126" s="11"/>
      <c r="H126" s="11" t="str">
        <f aca="false">IF($F126="","",$F126*$G126)</f>
        <v/>
      </c>
      <c r="I126" s="11"/>
      <c r="J126" s="11"/>
      <c r="K126" s="11" t="str">
        <f aca="false">IF(OR($J126="",$G126=""),"",$J126-$G126)</f>
        <v/>
      </c>
      <c r="L126" s="12" t="str">
        <f aca="false">IF(OR($J126="",$J126=0),"",($J126-$G126)/$J126)</f>
        <v/>
      </c>
      <c r="M126" s="14"/>
      <c r="N126" s="14"/>
      <c r="O126" s="16"/>
      <c r="P126" s="14"/>
      <c r="Q126" s="14"/>
    </row>
    <row r="127" customFormat="false" ht="15" hidden="false" customHeight="false" outlineLevel="0" collapsed="false">
      <c r="A127" s="14"/>
      <c r="B127" s="14"/>
      <c r="C127" s="14"/>
      <c r="D127" s="14"/>
      <c r="E127" s="14"/>
      <c r="F127" s="15"/>
      <c r="G127" s="11"/>
      <c r="H127" s="11" t="str">
        <f aca="false">IF($F127="","",$F127*$G127)</f>
        <v/>
      </c>
      <c r="I127" s="11"/>
      <c r="J127" s="11"/>
      <c r="K127" s="11" t="str">
        <f aca="false">IF(OR($J127="",$G127=""),"",$J127-$G127)</f>
        <v/>
      </c>
      <c r="L127" s="12" t="str">
        <f aca="false">IF(OR($J127="",$J127=0),"",($J127-$G127)/$J127)</f>
        <v/>
      </c>
      <c r="M127" s="14"/>
      <c r="N127" s="14"/>
      <c r="O127" s="16"/>
      <c r="P127" s="14"/>
      <c r="Q127" s="14"/>
    </row>
    <row r="128" customFormat="false" ht="15" hidden="false" customHeight="false" outlineLevel="0" collapsed="false">
      <c r="A128" s="14"/>
      <c r="B128" s="14"/>
      <c r="C128" s="14"/>
      <c r="D128" s="14"/>
      <c r="E128" s="14"/>
      <c r="F128" s="15"/>
      <c r="G128" s="11"/>
      <c r="H128" s="11" t="str">
        <f aca="false">IF($F128="","",$F128*$G128)</f>
        <v/>
      </c>
      <c r="I128" s="11"/>
      <c r="J128" s="11"/>
      <c r="K128" s="11" t="str">
        <f aca="false">IF(OR($J128="",$G128=""),"",$J128-$G128)</f>
        <v/>
      </c>
      <c r="L128" s="12" t="str">
        <f aca="false">IF(OR($J128="",$J128=0),"",($J128-$G128)/$J128)</f>
        <v/>
      </c>
      <c r="M128" s="14"/>
      <c r="N128" s="14"/>
      <c r="O128" s="16"/>
      <c r="P128" s="14"/>
      <c r="Q128" s="14"/>
    </row>
    <row r="129" customFormat="false" ht="15" hidden="false" customHeight="false" outlineLevel="0" collapsed="false">
      <c r="A129" s="14"/>
      <c r="B129" s="14"/>
      <c r="C129" s="14"/>
      <c r="D129" s="14"/>
      <c r="E129" s="14"/>
      <c r="F129" s="15"/>
      <c r="G129" s="11"/>
      <c r="H129" s="11" t="str">
        <f aca="false">IF($F129="","",$F129*$G129)</f>
        <v/>
      </c>
      <c r="I129" s="11"/>
      <c r="J129" s="11"/>
      <c r="K129" s="11" t="str">
        <f aca="false">IF(OR($J129="",$G129=""),"",$J129-$G129)</f>
        <v/>
      </c>
      <c r="L129" s="12" t="str">
        <f aca="false">IF(OR($J129="",$J129=0),"",($J129-$G129)/$J129)</f>
        <v/>
      </c>
      <c r="M129" s="14"/>
      <c r="N129" s="14"/>
      <c r="O129" s="16"/>
      <c r="P129" s="14"/>
      <c r="Q129" s="14"/>
    </row>
    <row r="130" customFormat="false" ht="15" hidden="false" customHeight="false" outlineLevel="0" collapsed="false">
      <c r="A130" s="14"/>
      <c r="B130" s="14"/>
      <c r="C130" s="14"/>
      <c r="D130" s="14"/>
      <c r="E130" s="14"/>
      <c r="F130" s="15"/>
      <c r="G130" s="11"/>
      <c r="H130" s="11" t="str">
        <f aca="false">IF($F130="","",$F130*$G130)</f>
        <v/>
      </c>
      <c r="I130" s="11"/>
      <c r="J130" s="11"/>
      <c r="K130" s="11" t="str">
        <f aca="false">IF(OR($J130="",$G130=""),"",$J130-$G130)</f>
        <v/>
      </c>
      <c r="L130" s="12" t="str">
        <f aca="false">IF(OR($J130="",$J130=0),"",($J130-$G130)/$J130)</f>
        <v/>
      </c>
      <c r="M130" s="14"/>
      <c r="N130" s="14"/>
      <c r="O130" s="16"/>
      <c r="P130" s="14"/>
      <c r="Q130" s="14"/>
    </row>
    <row r="131" customFormat="false" ht="15" hidden="false" customHeight="false" outlineLevel="0" collapsed="false">
      <c r="A131" s="14"/>
      <c r="B131" s="14"/>
      <c r="C131" s="14"/>
      <c r="D131" s="14"/>
      <c r="E131" s="14"/>
      <c r="F131" s="15"/>
      <c r="G131" s="11"/>
      <c r="H131" s="11" t="str">
        <f aca="false">IF($F131="","",$F131*$G131)</f>
        <v/>
      </c>
      <c r="I131" s="11"/>
      <c r="J131" s="11"/>
      <c r="K131" s="11" t="str">
        <f aca="false">IF(OR($J131="",$G131=""),"",$J131-$G131)</f>
        <v/>
      </c>
      <c r="L131" s="12" t="str">
        <f aca="false">IF(OR($J131="",$J131=0),"",($J131-$G131)/$J131)</f>
        <v/>
      </c>
      <c r="M131" s="14"/>
      <c r="N131" s="14"/>
      <c r="O131" s="16"/>
      <c r="P131" s="14"/>
      <c r="Q131" s="14"/>
    </row>
    <row r="132" customFormat="false" ht="15" hidden="false" customHeight="false" outlineLevel="0" collapsed="false">
      <c r="A132" s="14"/>
      <c r="B132" s="14"/>
      <c r="C132" s="14"/>
      <c r="D132" s="14"/>
      <c r="E132" s="14"/>
      <c r="F132" s="15"/>
      <c r="G132" s="11"/>
      <c r="H132" s="11" t="str">
        <f aca="false">IF($F132="","",$F132*$G132)</f>
        <v/>
      </c>
      <c r="I132" s="11"/>
      <c r="J132" s="11"/>
      <c r="K132" s="11" t="str">
        <f aca="false">IF(OR($J132="",$G132=""),"",$J132-$G132)</f>
        <v/>
      </c>
      <c r="L132" s="12" t="str">
        <f aca="false">IF(OR($J132="",$J132=0),"",($J132-$G132)/$J132)</f>
        <v/>
      </c>
      <c r="M132" s="14"/>
      <c r="N132" s="14"/>
      <c r="O132" s="16"/>
      <c r="P132" s="14"/>
      <c r="Q132" s="14"/>
    </row>
    <row r="133" customFormat="false" ht="15" hidden="false" customHeight="false" outlineLevel="0" collapsed="false">
      <c r="A133" s="14"/>
      <c r="B133" s="14"/>
      <c r="C133" s="14"/>
      <c r="D133" s="14"/>
      <c r="E133" s="14"/>
      <c r="F133" s="15"/>
      <c r="G133" s="11"/>
      <c r="H133" s="11" t="str">
        <f aca="false">IF($F133="","",$F133*$G133)</f>
        <v/>
      </c>
      <c r="I133" s="11"/>
      <c r="J133" s="11"/>
      <c r="K133" s="11" t="str">
        <f aca="false">IF(OR($J133="",$G133=""),"",$J133-$G133)</f>
        <v/>
      </c>
      <c r="L133" s="12" t="str">
        <f aca="false">IF(OR($J133="",$J133=0),"",($J133-$G133)/$J133)</f>
        <v/>
      </c>
      <c r="M133" s="14"/>
      <c r="N133" s="14"/>
      <c r="O133" s="16"/>
      <c r="P133" s="14"/>
      <c r="Q133" s="14"/>
    </row>
    <row r="134" customFormat="false" ht="15" hidden="false" customHeight="false" outlineLevel="0" collapsed="false">
      <c r="A134" s="14"/>
      <c r="B134" s="14"/>
      <c r="C134" s="14"/>
      <c r="D134" s="14"/>
      <c r="E134" s="14"/>
      <c r="F134" s="15"/>
      <c r="G134" s="11"/>
      <c r="H134" s="11" t="str">
        <f aca="false">IF($F134="","",$F134*$G134)</f>
        <v/>
      </c>
      <c r="I134" s="11"/>
      <c r="J134" s="11"/>
      <c r="K134" s="11" t="str">
        <f aca="false">IF(OR($J134="",$G134=""),"",$J134-$G134)</f>
        <v/>
      </c>
      <c r="L134" s="12" t="str">
        <f aca="false">IF(OR($J134="",$J134=0),"",($J134-$G134)/$J134)</f>
        <v/>
      </c>
      <c r="M134" s="14"/>
      <c r="N134" s="14"/>
      <c r="O134" s="16"/>
      <c r="P134" s="14"/>
      <c r="Q134" s="14"/>
    </row>
    <row r="135" customFormat="false" ht="15" hidden="false" customHeight="false" outlineLevel="0" collapsed="false">
      <c r="A135" s="14"/>
      <c r="B135" s="14"/>
      <c r="C135" s="14"/>
      <c r="D135" s="14"/>
      <c r="E135" s="14"/>
      <c r="F135" s="15"/>
      <c r="G135" s="11"/>
      <c r="H135" s="11" t="str">
        <f aca="false">IF($F135="","",$F135*$G135)</f>
        <v/>
      </c>
      <c r="I135" s="11"/>
      <c r="J135" s="11"/>
      <c r="K135" s="11" t="str">
        <f aca="false">IF(OR($J135="",$G135=""),"",$J135-$G135)</f>
        <v/>
      </c>
      <c r="L135" s="12" t="str">
        <f aca="false">IF(OR($J135="",$J135=0),"",($J135-$G135)/$J135)</f>
        <v/>
      </c>
      <c r="M135" s="14"/>
      <c r="N135" s="14"/>
      <c r="O135" s="16"/>
      <c r="P135" s="14"/>
      <c r="Q135" s="14"/>
    </row>
    <row r="136" customFormat="false" ht="15" hidden="false" customHeight="false" outlineLevel="0" collapsed="false">
      <c r="A136" s="14"/>
      <c r="B136" s="14"/>
      <c r="C136" s="14"/>
      <c r="D136" s="14"/>
      <c r="E136" s="14"/>
      <c r="F136" s="15"/>
      <c r="G136" s="11"/>
      <c r="H136" s="11" t="str">
        <f aca="false">IF($F136="","",$F136*$G136)</f>
        <v/>
      </c>
      <c r="I136" s="11"/>
      <c r="J136" s="11"/>
      <c r="K136" s="11" t="str">
        <f aca="false">IF(OR($J136="",$G136=""),"",$J136-$G136)</f>
        <v/>
      </c>
      <c r="L136" s="12" t="str">
        <f aca="false">IF(OR($J136="",$J136=0),"",($J136-$G136)/$J136)</f>
        <v/>
      </c>
      <c r="M136" s="14"/>
      <c r="N136" s="14"/>
      <c r="O136" s="16"/>
      <c r="P136" s="14"/>
      <c r="Q136" s="14"/>
    </row>
    <row r="137" customFormat="false" ht="15" hidden="false" customHeight="false" outlineLevel="0" collapsed="false">
      <c r="A137" s="14"/>
      <c r="B137" s="14"/>
      <c r="C137" s="14"/>
      <c r="D137" s="14"/>
      <c r="E137" s="14"/>
      <c r="F137" s="15"/>
      <c r="G137" s="11"/>
      <c r="H137" s="11" t="str">
        <f aca="false">IF($F137="","",$F137*$G137)</f>
        <v/>
      </c>
      <c r="I137" s="11"/>
      <c r="J137" s="11"/>
      <c r="K137" s="11" t="str">
        <f aca="false">IF(OR($J137="",$G137=""),"",$J137-$G137)</f>
        <v/>
      </c>
      <c r="L137" s="12" t="str">
        <f aca="false">IF(OR($J137="",$J137=0),"",($J137-$G137)/$J137)</f>
        <v/>
      </c>
      <c r="M137" s="14"/>
      <c r="N137" s="14"/>
      <c r="O137" s="16"/>
      <c r="P137" s="14"/>
      <c r="Q137" s="14"/>
    </row>
    <row r="138" customFormat="false" ht="15" hidden="false" customHeight="false" outlineLevel="0" collapsed="false">
      <c r="A138" s="14"/>
      <c r="B138" s="14"/>
      <c r="C138" s="14"/>
      <c r="D138" s="14"/>
      <c r="E138" s="14"/>
      <c r="F138" s="15"/>
      <c r="G138" s="11"/>
      <c r="H138" s="11" t="str">
        <f aca="false">IF($F138="","",$F138*$G138)</f>
        <v/>
      </c>
      <c r="I138" s="11"/>
      <c r="J138" s="11"/>
      <c r="K138" s="11" t="str">
        <f aca="false">IF(OR($J138="",$G138=""),"",$J138-$G138)</f>
        <v/>
      </c>
      <c r="L138" s="12" t="str">
        <f aca="false">IF(OR($J138="",$J138=0),"",($J138-$G138)/$J138)</f>
        <v/>
      </c>
      <c r="M138" s="14"/>
      <c r="N138" s="14"/>
      <c r="O138" s="16"/>
      <c r="P138" s="14"/>
      <c r="Q138" s="14"/>
    </row>
    <row r="139" customFormat="false" ht="15" hidden="false" customHeight="false" outlineLevel="0" collapsed="false">
      <c r="A139" s="14"/>
      <c r="B139" s="14"/>
      <c r="C139" s="14"/>
      <c r="D139" s="14"/>
      <c r="E139" s="14"/>
      <c r="F139" s="15"/>
      <c r="G139" s="11"/>
      <c r="H139" s="11" t="str">
        <f aca="false">IF($F139="","",$F139*$G139)</f>
        <v/>
      </c>
      <c r="I139" s="11"/>
      <c r="J139" s="11"/>
      <c r="K139" s="11" t="str">
        <f aca="false">IF(OR($J139="",$G139=""),"",$J139-$G139)</f>
        <v/>
      </c>
      <c r="L139" s="12" t="str">
        <f aca="false">IF(OR($J139="",$J139=0),"",($J139-$G139)/$J139)</f>
        <v/>
      </c>
      <c r="M139" s="14"/>
      <c r="N139" s="14"/>
      <c r="O139" s="16"/>
      <c r="P139" s="14"/>
      <c r="Q139" s="14"/>
    </row>
    <row r="140" customFormat="false" ht="15" hidden="false" customHeight="false" outlineLevel="0" collapsed="false">
      <c r="A140" s="14"/>
      <c r="B140" s="14"/>
      <c r="C140" s="14"/>
      <c r="D140" s="14"/>
      <c r="E140" s="14"/>
      <c r="F140" s="15"/>
      <c r="G140" s="11"/>
      <c r="H140" s="11" t="str">
        <f aca="false">IF($F140="","",$F140*$G140)</f>
        <v/>
      </c>
      <c r="I140" s="11"/>
      <c r="J140" s="11"/>
      <c r="K140" s="11" t="str">
        <f aca="false">IF(OR($J140="",$G140=""),"",$J140-$G140)</f>
        <v/>
      </c>
      <c r="L140" s="12" t="str">
        <f aca="false">IF(OR($J140="",$J140=0),"",($J140-$G140)/$J140)</f>
        <v/>
      </c>
      <c r="M140" s="14"/>
      <c r="N140" s="14"/>
      <c r="O140" s="16"/>
      <c r="P140" s="14"/>
      <c r="Q140" s="14"/>
    </row>
    <row r="141" customFormat="false" ht="15" hidden="false" customHeight="false" outlineLevel="0" collapsed="false">
      <c r="A141" s="14"/>
      <c r="B141" s="14"/>
      <c r="C141" s="14"/>
      <c r="D141" s="14"/>
      <c r="E141" s="14"/>
      <c r="F141" s="15"/>
      <c r="G141" s="11"/>
      <c r="H141" s="11" t="str">
        <f aca="false">IF($F141="","",$F141*$G141)</f>
        <v/>
      </c>
      <c r="I141" s="11"/>
      <c r="J141" s="11"/>
      <c r="K141" s="11" t="str">
        <f aca="false">IF(OR($J141="",$G141=""),"",$J141-$G141)</f>
        <v/>
      </c>
      <c r="L141" s="12" t="str">
        <f aca="false">IF(OR($J141="",$J141=0),"",($J141-$G141)/$J141)</f>
        <v/>
      </c>
      <c r="M141" s="14"/>
      <c r="N141" s="14"/>
      <c r="O141" s="16"/>
      <c r="P141" s="14"/>
      <c r="Q141" s="14"/>
    </row>
    <row r="142" customFormat="false" ht="15" hidden="false" customHeight="false" outlineLevel="0" collapsed="false">
      <c r="A142" s="14"/>
      <c r="B142" s="14"/>
      <c r="C142" s="14"/>
      <c r="D142" s="14"/>
      <c r="E142" s="14"/>
      <c r="F142" s="15"/>
      <c r="G142" s="11"/>
      <c r="H142" s="11" t="str">
        <f aca="false">IF($F142="","",$F142*$G142)</f>
        <v/>
      </c>
      <c r="I142" s="11"/>
      <c r="J142" s="11"/>
      <c r="K142" s="11" t="str">
        <f aca="false">IF(OR($J142="",$G142=""),"",$J142-$G142)</f>
        <v/>
      </c>
      <c r="L142" s="12" t="str">
        <f aca="false">IF(OR($J142="",$J142=0),"",($J142-$G142)/$J142)</f>
        <v/>
      </c>
      <c r="M142" s="14"/>
      <c r="N142" s="14"/>
      <c r="O142" s="16"/>
      <c r="P142" s="14"/>
      <c r="Q142" s="14"/>
    </row>
    <row r="143" customFormat="false" ht="15" hidden="false" customHeight="false" outlineLevel="0" collapsed="false">
      <c r="A143" s="14"/>
      <c r="B143" s="14"/>
      <c r="C143" s="14"/>
      <c r="D143" s="14"/>
      <c r="E143" s="14"/>
      <c r="F143" s="15"/>
      <c r="G143" s="11"/>
      <c r="H143" s="11" t="str">
        <f aca="false">IF($F143="","",$F143*$G143)</f>
        <v/>
      </c>
      <c r="I143" s="11"/>
      <c r="J143" s="11"/>
      <c r="K143" s="11" t="str">
        <f aca="false">IF(OR($J143="",$G143=""),"",$J143-$G143)</f>
        <v/>
      </c>
      <c r="L143" s="12" t="str">
        <f aca="false">IF(OR($J143="",$J143=0),"",($J143-$G143)/$J143)</f>
        <v/>
      </c>
      <c r="M143" s="14"/>
      <c r="N143" s="14"/>
      <c r="O143" s="16"/>
      <c r="P143" s="14"/>
      <c r="Q143" s="14"/>
    </row>
    <row r="144" customFormat="false" ht="15" hidden="false" customHeight="false" outlineLevel="0" collapsed="false">
      <c r="A144" s="14"/>
      <c r="B144" s="14"/>
      <c r="C144" s="14"/>
      <c r="D144" s="14"/>
      <c r="E144" s="14"/>
      <c r="F144" s="15"/>
      <c r="G144" s="11"/>
      <c r="H144" s="11" t="str">
        <f aca="false">IF($F144="","",$F144*$G144)</f>
        <v/>
      </c>
      <c r="I144" s="11"/>
      <c r="J144" s="11"/>
      <c r="K144" s="11" t="str">
        <f aca="false">IF(OR($J144="",$G144=""),"",$J144-$G144)</f>
        <v/>
      </c>
      <c r="L144" s="12" t="str">
        <f aca="false">IF(OR($J144="",$J144=0),"",($J144-$G144)/$J144)</f>
        <v/>
      </c>
      <c r="M144" s="14"/>
      <c r="N144" s="14"/>
      <c r="O144" s="16"/>
      <c r="P144" s="14"/>
      <c r="Q144" s="14"/>
    </row>
    <row r="145" customFormat="false" ht="15" hidden="false" customHeight="false" outlineLevel="0" collapsed="false">
      <c r="A145" s="14"/>
      <c r="B145" s="14"/>
      <c r="C145" s="14"/>
      <c r="D145" s="14"/>
      <c r="E145" s="14"/>
      <c r="F145" s="15"/>
      <c r="G145" s="11"/>
      <c r="H145" s="11" t="str">
        <f aca="false">IF($F145="","",$F145*$G145)</f>
        <v/>
      </c>
      <c r="I145" s="11"/>
      <c r="J145" s="11"/>
      <c r="K145" s="11" t="str">
        <f aca="false">IF(OR($J145="",$G145=""),"",$J145-$G145)</f>
        <v/>
      </c>
      <c r="L145" s="12" t="str">
        <f aca="false">IF(OR($J145="",$J145=0),"",($J145-$G145)/$J145)</f>
        <v/>
      </c>
      <c r="M145" s="14"/>
      <c r="N145" s="14"/>
      <c r="O145" s="16"/>
      <c r="P145" s="14"/>
      <c r="Q145" s="14"/>
    </row>
    <row r="146" customFormat="false" ht="15" hidden="false" customHeight="false" outlineLevel="0" collapsed="false">
      <c r="A146" s="14"/>
      <c r="B146" s="14"/>
      <c r="C146" s="14"/>
      <c r="D146" s="14"/>
      <c r="E146" s="14"/>
      <c r="F146" s="15"/>
      <c r="G146" s="11"/>
      <c r="H146" s="11" t="str">
        <f aca="false">IF($F146="","",$F146*$G146)</f>
        <v/>
      </c>
      <c r="I146" s="11"/>
      <c r="J146" s="11"/>
      <c r="K146" s="11" t="str">
        <f aca="false">IF(OR($J146="",$G146=""),"",$J146-$G146)</f>
        <v/>
      </c>
      <c r="L146" s="12" t="str">
        <f aca="false">IF(OR($J146="",$J146=0),"",($J146-$G146)/$J146)</f>
        <v/>
      </c>
      <c r="M146" s="14"/>
      <c r="N146" s="14"/>
      <c r="O146" s="16"/>
      <c r="P146" s="14"/>
      <c r="Q146" s="14"/>
    </row>
    <row r="147" customFormat="false" ht="15" hidden="false" customHeight="false" outlineLevel="0" collapsed="false">
      <c r="A147" s="14"/>
      <c r="B147" s="14"/>
      <c r="C147" s="14"/>
      <c r="D147" s="14"/>
      <c r="E147" s="14"/>
      <c r="F147" s="15"/>
      <c r="G147" s="11"/>
      <c r="H147" s="11" t="str">
        <f aca="false">IF($F147="","",$F147*$G147)</f>
        <v/>
      </c>
      <c r="I147" s="11"/>
      <c r="J147" s="11"/>
      <c r="K147" s="11" t="str">
        <f aca="false">IF(OR($J147="",$G147=""),"",$J147-$G147)</f>
        <v/>
      </c>
      <c r="L147" s="12" t="str">
        <f aca="false">IF(OR($J147="",$J147=0),"",($J147-$G147)/$J147)</f>
        <v/>
      </c>
      <c r="M147" s="14"/>
      <c r="N147" s="14"/>
      <c r="O147" s="16"/>
      <c r="P147" s="14"/>
      <c r="Q147" s="14"/>
    </row>
    <row r="148" customFormat="false" ht="15" hidden="false" customHeight="false" outlineLevel="0" collapsed="false">
      <c r="A148" s="14"/>
      <c r="B148" s="14"/>
      <c r="C148" s="14"/>
      <c r="D148" s="14"/>
      <c r="E148" s="14"/>
      <c r="F148" s="15"/>
      <c r="G148" s="11"/>
      <c r="H148" s="11" t="str">
        <f aca="false">IF($F148="","",$F148*$G148)</f>
        <v/>
      </c>
      <c r="I148" s="11"/>
      <c r="J148" s="11"/>
      <c r="K148" s="11" t="str">
        <f aca="false">IF(OR($J148="",$G148=""),"",$J148-$G148)</f>
        <v/>
      </c>
      <c r="L148" s="12" t="str">
        <f aca="false">IF(OR($J148="",$J148=0),"",($J148-$G148)/$J148)</f>
        <v/>
      </c>
      <c r="M148" s="14"/>
      <c r="N148" s="14"/>
      <c r="O148" s="16"/>
      <c r="P148" s="14"/>
      <c r="Q148" s="14"/>
    </row>
    <row r="149" customFormat="false" ht="15" hidden="false" customHeight="false" outlineLevel="0" collapsed="false">
      <c r="A149" s="14"/>
      <c r="B149" s="14"/>
      <c r="C149" s="14"/>
      <c r="D149" s="14"/>
      <c r="E149" s="14"/>
      <c r="F149" s="15"/>
      <c r="G149" s="11"/>
      <c r="H149" s="11" t="str">
        <f aca="false">IF($F149="","",$F149*$G149)</f>
        <v/>
      </c>
      <c r="I149" s="11"/>
      <c r="J149" s="11"/>
      <c r="K149" s="11" t="str">
        <f aca="false">IF(OR($J149="",$G149=""),"",$J149-$G149)</f>
        <v/>
      </c>
      <c r="L149" s="12" t="str">
        <f aca="false">IF(OR($J149="",$J149=0),"",($J149-$G149)/$J149)</f>
        <v/>
      </c>
      <c r="M149" s="14"/>
      <c r="N149" s="14"/>
      <c r="O149" s="16"/>
      <c r="P149" s="14"/>
      <c r="Q149" s="14"/>
    </row>
    <row r="150" customFormat="false" ht="15" hidden="false" customHeight="false" outlineLevel="0" collapsed="false">
      <c r="A150" s="14"/>
      <c r="B150" s="14"/>
      <c r="C150" s="14"/>
      <c r="D150" s="14"/>
      <c r="E150" s="14"/>
      <c r="F150" s="15"/>
      <c r="G150" s="11"/>
      <c r="H150" s="11" t="str">
        <f aca="false">IF($F150="","",$F150*$G150)</f>
        <v/>
      </c>
      <c r="I150" s="11"/>
      <c r="J150" s="11"/>
      <c r="K150" s="11" t="str">
        <f aca="false">IF(OR($J150="",$G150=""),"",$J150-$G150)</f>
        <v/>
      </c>
      <c r="L150" s="12" t="str">
        <f aca="false">IF(OR($J150="",$J150=0),"",($J150-$G150)/$J150)</f>
        <v/>
      </c>
      <c r="M150" s="14"/>
      <c r="N150" s="14"/>
      <c r="O150" s="16"/>
      <c r="P150" s="14"/>
      <c r="Q150" s="14"/>
    </row>
    <row r="151" customFormat="false" ht="15" hidden="false" customHeight="false" outlineLevel="0" collapsed="false">
      <c r="A151" s="14"/>
      <c r="B151" s="14"/>
      <c r="C151" s="14"/>
      <c r="D151" s="14"/>
      <c r="E151" s="14"/>
      <c r="F151" s="15"/>
      <c r="G151" s="11"/>
      <c r="H151" s="11" t="str">
        <f aca="false">IF($F151="","",$F151*$G151)</f>
        <v/>
      </c>
      <c r="I151" s="11"/>
      <c r="J151" s="11"/>
      <c r="K151" s="11" t="str">
        <f aca="false">IF(OR($J151="",$G151=""),"",$J151-$G151)</f>
        <v/>
      </c>
      <c r="L151" s="12" t="str">
        <f aca="false">IF(OR($J151="",$J151=0),"",($J151-$G151)/$J151)</f>
        <v/>
      </c>
      <c r="M151" s="14"/>
      <c r="N151" s="14"/>
      <c r="O151" s="16"/>
      <c r="P151" s="14"/>
      <c r="Q151" s="14"/>
    </row>
    <row r="152" customFormat="false" ht="15" hidden="false" customHeight="false" outlineLevel="0" collapsed="false">
      <c r="A152" s="14"/>
      <c r="B152" s="14"/>
      <c r="C152" s="14"/>
      <c r="D152" s="14"/>
      <c r="E152" s="14"/>
      <c r="F152" s="15"/>
      <c r="G152" s="11"/>
      <c r="H152" s="11" t="str">
        <f aca="false">IF($F152="","",$F152*$G152)</f>
        <v/>
      </c>
      <c r="I152" s="11"/>
      <c r="J152" s="11"/>
      <c r="K152" s="11" t="str">
        <f aca="false">IF(OR($J152="",$G152=""),"",$J152-$G152)</f>
        <v/>
      </c>
      <c r="L152" s="12" t="str">
        <f aca="false">IF(OR($J152="",$J152=0),"",($J152-$G152)/$J152)</f>
        <v/>
      </c>
      <c r="M152" s="14"/>
      <c r="N152" s="14"/>
      <c r="O152" s="16"/>
      <c r="P152" s="14"/>
      <c r="Q152" s="14"/>
    </row>
    <row r="153" customFormat="false" ht="15" hidden="false" customHeight="false" outlineLevel="0" collapsed="false">
      <c r="A153" s="14"/>
      <c r="B153" s="14"/>
      <c r="C153" s="14"/>
      <c r="D153" s="14"/>
      <c r="E153" s="14"/>
      <c r="F153" s="15"/>
      <c r="G153" s="11"/>
      <c r="H153" s="11" t="str">
        <f aca="false">IF($F153="","",$F153*$G153)</f>
        <v/>
      </c>
      <c r="I153" s="11"/>
      <c r="J153" s="11"/>
      <c r="K153" s="11" t="str">
        <f aca="false">IF(OR($J153="",$G153=""),"",$J153-$G153)</f>
        <v/>
      </c>
      <c r="L153" s="12" t="str">
        <f aca="false">IF(OR($J153="",$J153=0),"",($J153-$G153)/$J153)</f>
        <v/>
      </c>
      <c r="M153" s="14"/>
      <c r="N153" s="14"/>
      <c r="O153" s="16"/>
      <c r="P153" s="14"/>
      <c r="Q153" s="14"/>
    </row>
    <row r="154" customFormat="false" ht="15" hidden="false" customHeight="false" outlineLevel="0" collapsed="false">
      <c r="A154" s="14"/>
      <c r="B154" s="14"/>
      <c r="C154" s="14"/>
      <c r="D154" s="14"/>
      <c r="E154" s="14"/>
      <c r="F154" s="15"/>
      <c r="G154" s="11"/>
      <c r="H154" s="11" t="str">
        <f aca="false">IF($F154="","",$F154*$G154)</f>
        <v/>
      </c>
      <c r="I154" s="11"/>
      <c r="J154" s="11"/>
      <c r="K154" s="11" t="str">
        <f aca="false">IF(OR($J154="",$G154=""),"",$J154-$G154)</f>
        <v/>
      </c>
      <c r="L154" s="12" t="str">
        <f aca="false">IF(OR($J154="",$J154=0),"",($J154-$G154)/$J154)</f>
        <v/>
      </c>
      <c r="M154" s="14"/>
      <c r="N154" s="14"/>
      <c r="O154" s="16"/>
      <c r="P154" s="14"/>
      <c r="Q154" s="14"/>
    </row>
    <row r="155" customFormat="false" ht="15" hidden="false" customHeight="false" outlineLevel="0" collapsed="false">
      <c r="A155" s="14"/>
      <c r="B155" s="14"/>
      <c r="C155" s="14"/>
      <c r="D155" s="14"/>
      <c r="E155" s="14"/>
      <c r="F155" s="15"/>
      <c r="G155" s="11"/>
      <c r="H155" s="11" t="str">
        <f aca="false">IF($F155="","",$F155*$G155)</f>
        <v/>
      </c>
      <c r="I155" s="11"/>
      <c r="J155" s="11"/>
      <c r="K155" s="11" t="str">
        <f aca="false">IF(OR($J155="",$G155=""),"",$J155-$G155)</f>
        <v/>
      </c>
      <c r="L155" s="12" t="str">
        <f aca="false">IF(OR($J155="",$J155=0),"",($J155-$G155)/$J155)</f>
        <v/>
      </c>
      <c r="M155" s="14"/>
      <c r="N155" s="14"/>
      <c r="O155" s="16"/>
      <c r="P155" s="14"/>
      <c r="Q155" s="14"/>
    </row>
    <row r="156" customFormat="false" ht="15" hidden="false" customHeight="false" outlineLevel="0" collapsed="false">
      <c r="A156" s="14"/>
      <c r="B156" s="14"/>
      <c r="C156" s="14"/>
      <c r="D156" s="14"/>
      <c r="E156" s="14"/>
      <c r="F156" s="15"/>
      <c r="G156" s="11"/>
      <c r="H156" s="11" t="str">
        <f aca="false">IF($F156="","",$F156*$G156)</f>
        <v/>
      </c>
      <c r="I156" s="11"/>
      <c r="J156" s="11"/>
      <c r="K156" s="11" t="str">
        <f aca="false">IF(OR($J156="",$G156=""),"",$J156-$G156)</f>
        <v/>
      </c>
      <c r="L156" s="12" t="str">
        <f aca="false">IF(OR($J156="",$J156=0),"",($J156-$G156)/$J156)</f>
        <v/>
      </c>
      <c r="M156" s="14"/>
      <c r="N156" s="14"/>
      <c r="O156" s="16"/>
      <c r="P156" s="14"/>
      <c r="Q156" s="14"/>
    </row>
    <row r="157" customFormat="false" ht="15" hidden="false" customHeight="false" outlineLevel="0" collapsed="false">
      <c r="A157" s="14"/>
      <c r="B157" s="14"/>
      <c r="C157" s="14"/>
      <c r="D157" s="14"/>
      <c r="E157" s="14"/>
      <c r="F157" s="15"/>
      <c r="G157" s="11"/>
      <c r="H157" s="11" t="str">
        <f aca="false">IF($F157="","",$F157*$G157)</f>
        <v/>
      </c>
      <c r="I157" s="11"/>
      <c r="J157" s="11"/>
      <c r="K157" s="11" t="str">
        <f aca="false">IF(OR($J157="",$G157=""),"",$J157-$G157)</f>
        <v/>
      </c>
      <c r="L157" s="12" t="str">
        <f aca="false">IF(OR($J157="",$J157=0),"",($J157-$G157)/$J157)</f>
        <v/>
      </c>
      <c r="M157" s="14"/>
      <c r="N157" s="14"/>
      <c r="O157" s="16"/>
      <c r="P157" s="14"/>
      <c r="Q157" s="14"/>
    </row>
    <row r="158" customFormat="false" ht="15" hidden="false" customHeight="false" outlineLevel="0" collapsed="false">
      <c r="A158" s="14"/>
      <c r="B158" s="14"/>
      <c r="C158" s="14"/>
      <c r="D158" s="14"/>
      <c r="E158" s="14"/>
      <c r="F158" s="15"/>
      <c r="G158" s="11"/>
      <c r="H158" s="11" t="str">
        <f aca="false">IF($F158="","",$F158*$G158)</f>
        <v/>
      </c>
      <c r="I158" s="11"/>
      <c r="J158" s="11"/>
      <c r="K158" s="11" t="str">
        <f aca="false">IF(OR($J158="",$G158=""),"",$J158-$G158)</f>
        <v/>
      </c>
      <c r="L158" s="12" t="str">
        <f aca="false">IF(OR($J158="",$J158=0),"",($J158-$G158)/$J158)</f>
        <v/>
      </c>
      <c r="M158" s="14"/>
      <c r="N158" s="14"/>
      <c r="O158" s="16"/>
      <c r="P158" s="14"/>
      <c r="Q158" s="14"/>
    </row>
    <row r="159" customFormat="false" ht="15" hidden="false" customHeight="false" outlineLevel="0" collapsed="false">
      <c r="A159" s="14"/>
      <c r="B159" s="14"/>
      <c r="C159" s="14"/>
      <c r="D159" s="14"/>
      <c r="E159" s="14"/>
      <c r="F159" s="15"/>
      <c r="G159" s="11"/>
      <c r="H159" s="11" t="str">
        <f aca="false">IF($F159="","",$F159*$G159)</f>
        <v/>
      </c>
      <c r="I159" s="11"/>
      <c r="J159" s="11"/>
      <c r="K159" s="11" t="str">
        <f aca="false">IF(OR($J159="",$G159=""),"",$J159-$G159)</f>
        <v/>
      </c>
      <c r="L159" s="12" t="str">
        <f aca="false">IF(OR($J159="",$J159=0),"",($J159-$G159)/$J159)</f>
        <v/>
      </c>
      <c r="M159" s="14"/>
      <c r="N159" s="14"/>
      <c r="O159" s="16"/>
      <c r="P159" s="14"/>
      <c r="Q159" s="14"/>
    </row>
    <row r="160" customFormat="false" ht="15" hidden="false" customHeight="false" outlineLevel="0" collapsed="false">
      <c r="A160" s="14"/>
      <c r="B160" s="14"/>
      <c r="C160" s="14"/>
      <c r="D160" s="14"/>
      <c r="E160" s="14"/>
      <c r="F160" s="15"/>
      <c r="G160" s="11"/>
      <c r="H160" s="11" t="str">
        <f aca="false">IF($F160="","",$F160*$G160)</f>
        <v/>
      </c>
      <c r="I160" s="11"/>
      <c r="J160" s="11"/>
      <c r="K160" s="11" t="str">
        <f aca="false">IF(OR($J160="",$G160=""),"",$J160-$G160)</f>
        <v/>
      </c>
      <c r="L160" s="12" t="str">
        <f aca="false">IF(OR($J160="",$J160=0),"",($J160-$G160)/$J160)</f>
        <v/>
      </c>
      <c r="M160" s="14"/>
      <c r="N160" s="14"/>
      <c r="O160" s="16"/>
      <c r="P160" s="14"/>
      <c r="Q160" s="14"/>
    </row>
    <row r="161" customFormat="false" ht="15" hidden="false" customHeight="false" outlineLevel="0" collapsed="false">
      <c r="A161" s="14"/>
      <c r="B161" s="14"/>
      <c r="C161" s="14"/>
      <c r="D161" s="14"/>
      <c r="E161" s="14"/>
      <c r="F161" s="15"/>
      <c r="G161" s="11"/>
      <c r="H161" s="11" t="str">
        <f aca="false">IF($F161="","",$F161*$G161)</f>
        <v/>
      </c>
      <c r="I161" s="11"/>
      <c r="J161" s="11"/>
      <c r="K161" s="11" t="str">
        <f aca="false">IF(OR($J161="",$G161=""),"",$J161-$G161)</f>
        <v/>
      </c>
      <c r="L161" s="12" t="str">
        <f aca="false">IF(OR($J161="",$J161=0),"",($J161-$G161)/$J161)</f>
        <v/>
      </c>
      <c r="M161" s="14"/>
      <c r="N161" s="14"/>
      <c r="O161" s="16"/>
      <c r="P161" s="14"/>
      <c r="Q161" s="14"/>
    </row>
    <row r="162" customFormat="false" ht="15" hidden="false" customHeight="false" outlineLevel="0" collapsed="false">
      <c r="A162" s="14"/>
      <c r="B162" s="14"/>
      <c r="C162" s="14"/>
      <c r="D162" s="14"/>
      <c r="E162" s="14"/>
      <c r="F162" s="15"/>
      <c r="G162" s="11"/>
      <c r="H162" s="11" t="str">
        <f aca="false">IF($F162="","",$F162*$G162)</f>
        <v/>
      </c>
      <c r="I162" s="11"/>
      <c r="J162" s="11"/>
      <c r="K162" s="11" t="str">
        <f aca="false">IF(OR($J162="",$G162=""),"",$J162-$G162)</f>
        <v/>
      </c>
      <c r="L162" s="12" t="str">
        <f aca="false">IF(OR($J162="",$J162=0),"",($J162-$G162)/$J162)</f>
        <v/>
      </c>
      <c r="M162" s="14"/>
      <c r="N162" s="14"/>
      <c r="O162" s="16"/>
      <c r="P162" s="14"/>
      <c r="Q162" s="14"/>
    </row>
    <row r="163" customFormat="false" ht="15" hidden="false" customHeight="false" outlineLevel="0" collapsed="false">
      <c r="A163" s="14"/>
      <c r="B163" s="14"/>
      <c r="C163" s="14"/>
      <c r="D163" s="14"/>
      <c r="E163" s="14"/>
      <c r="F163" s="15"/>
      <c r="G163" s="11"/>
      <c r="H163" s="11" t="str">
        <f aca="false">IF($F163="","",$F163*$G163)</f>
        <v/>
      </c>
      <c r="I163" s="11"/>
      <c r="J163" s="11"/>
      <c r="K163" s="11" t="str">
        <f aca="false">IF(OR($J163="",$G163=""),"",$J163-$G163)</f>
        <v/>
      </c>
      <c r="L163" s="12" t="str">
        <f aca="false">IF(OR($J163="",$J163=0),"",($J163-$G163)/$J163)</f>
        <v/>
      </c>
      <c r="M163" s="14"/>
      <c r="N163" s="14"/>
      <c r="O163" s="16"/>
      <c r="P163" s="14"/>
      <c r="Q163" s="14"/>
    </row>
    <row r="164" customFormat="false" ht="15" hidden="false" customHeight="false" outlineLevel="0" collapsed="false">
      <c r="A164" s="14"/>
      <c r="B164" s="14"/>
      <c r="C164" s="14"/>
      <c r="D164" s="14"/>
      <c r="E164" s="14"/>
      <c r="F164" s="15"/>
      <c r="G164" s="11"/>
      <c r="H164" s="11" t="str">
        <f aca="false">IF($F164="","",$F164*$G164)</f>
        <v/>
      </c>
      <c r="I164" s="11"/>
      <c r="J164" s="11"/>
      <c r="K164" s="11" t="str">
        <f aca="false">IF(OR($J164="",$G164=""),"",$J164-$G164)</f>
        <v/>
      </c>
      <c r="L164" s="12" t="str">
        <f aca="false">IF(OR($J164="",$J164=0),"",($J164-$G164)/$J164)</f>
        <v/>
      </c>
      <c r="M164" s="14"/>
      <c r="N164" s="14"/>
      <c r="O164" s="16"/>
      <c r="P164" s="14"/>
      <c r="Q164" s="14"/>
    </row>
    <row r="165" customFormat="false" ht="15" hidden="false" customHeight="false" outlineLevel="0" collapsed="false">
      <c r="A165" s="14"/>
      <c r="B165" s="14"/>
      <c r="C165" s="14"/>
      <c r="D165" s="14"/>
      <c r="E165" s="14"/>
      <c r="F165" s="15"/>
      <c r="G165" s="11"/>
      <c r="H165" s="11" t="str">
        <f aca="false">IF($F165="","",$F165*$G165)</f>
        <v/>
      </c>
      <c r="I165" s="11"/>
      <c r="J165" s="11"/>
      <c r="K165" s="11" t="str">
        <f aca="false">IF(OR($J165="",$G165=""),"",$J165-$G165)</f>
        <v/>
      </c>
      <c r="L165" s="12" t="str">
        <f aca="false">IF(OR($J165="",$J165=0),"",($J165-$G165)/$J165)</f>
        <v/>
      </c>
      <c r="M165" s="14"/>
      <c r="N165" s="14"/>
      <c r="O165" s="16"/>
      <c r="P165" s="14"/>
      <c r="Q165" s="14"/>
    </row>
    <row r="166" customFormat="false" ht="15" hidden="false" customHeight="false" outlineLevel="0" collapsed="false">
      <c r="A166" s="14"/>
      <c r="B166" s="14"/>
      <c r="C166" s="14"/>
      <c r="D166" s="14"/>
      <c r="E166" s="14"/>
      <c r="F166" s="15"/>
      <c r="G166" s="11"/>
      <c r="H166" s="11" t="str">
        <f aca="false">IF($F166="","",$F166*$G166)</f>
        <v/>
      </c>
      <c r="I166" s="11"/>
      <c r="J166" s="11"/>
      <c r="K166" s="11" t="str">
        <f aca="false">IF(OR($J166="",$G166=""),"",$J166-$G166)</f>
        <v/>
      </c>
      <c r="L166" s="12" t="str">
        <f aca="false">IF(OR($J166="",$J166=0),"",($J166-$G166)/$J166)</f>
        <v/>
      </c>
      <c r="M166" s="14"/>
      <c r="N166" s="14"/>
      <c r="O166" s="16"/>
      <c r="P166" s="14"/>
      <c r="Q166" s="14"/>
    </row>
    <row r="167" customFormat="false" ht="15" hidden="false" customHeight="false" outlineLevel="0" collapsed="false">
      <c r="A167" s="14"/>
      <c r="B167" s="14"/>
      <c r="C167" s="14"/>
      <c r="D167" s="14"/>
      <c r="E167" s="14"/>
      <c r="F167" s="15"/>
      <c r="G167" s="11"/>
      <c r="H167" s="11" t="str">
        <f aca="false">IF($F167="","",$F167*$G167)</f>
        <v/>
      </c>
      <c r="I167" s="11"/>
      <c r="J167" s="11"/>
      <c r="K167" s="11" t="str">
        <f aca="false">IF(OR($J167="",$G167=""),"",$J167-$G167)</f>
        <v/>
      </c>
      <c r="L167" s="12" t="str">
        <f aca="false">IF(OR($J167="",$J167=0),"",($J167-$G167)/$J167)</f>
        <v/>
      </c>
      <c r="M167" s="14"/>
      <c r="N167" s="14"/>
      <c r="O167" s="16"/>
      <c r="P167" s="14"/>
      <c r="Q167" s="14"/>
    </row>
    <row r="168" customFormat="false" ht="15" hidden="false" customHeight="false" outlineLevel="0" collapsed="false">
      <c r="A168" s="14"/>
      <c r="B168" s="14"/>
      <c r="C168" s="14"/>
      <c r="D168" s="14"/>
      <c r="E168" s="14"/>
      <c r="F168" s="15"/>
      <c r="G168" s="11"/>
      <c r="H168" s="11" t="str">
        <f aca="false">IF($F168="","",$F168*$G168)</f>
        <v/>
      </c>
      <c r="I168" s="11"/>
      <c r="J168" s="11"/>
      <c r="K168" s="11" t="str">
        <f aca="false">IF(OR($J168="",$G168=""),"",$J168-$G168)</f>
        <v/>
      </c>
      <c r="L168" s="12" t="str">
        <f aca="false">IF(OR($J168="",$J168=0),"",($J168-$G168)/$J168)</f>
        <v/>
      </c>
      <c r="M168" s="14"/>
      <c r="N168" s="14"/>
      <c r="O168" s="16"/>
      <c r="P168" s="14"/>
      <c r="Q168" s="14"/>
    </row>
    <row r="169" customFormat="false" ht="15" hidden="false" customHeight="false" outlineLevel="0" collapsed="false">
      <c r="A169" s="14"/>
      <c r="B169" s="14"/>
      <c r="C169" s="14"/>
      <c r="D169" s="14"/>
      <c r="E169" s="14"/>
      <c r="F169" s="15"/>
      <c r="G169" s="11"/>
      <c r="H169" s="11" t="str">
        <f aca="false">IF($F169="","",$F169*$G169)</f>
        <v/>
      </c>
      <c r="I169" s="11"/>
      <c r="J169" s="11"/>
      <c r="K169" s="11" t="str">
        <f aca="false">IF(OR($J169="",$G169=""),"",$J169-$G169)</f>
        <v/>
      </c>
      <c r="L169" s="12" t="str">
        <f aca="false">IF(OR($J169="",$J169=0),"",($J169-$G169)/$J169)</f>
        <v/>
      </c>
      <c r="M169" s="14"/>
      <c r="N169" s="14"/>
      <c r="O169" s="16"/>
      <c r="P169" s="14"/>
      <c r="Q169" s="14"/>
    </row>
    <row r="170" customFormat="false" ht="15" hidden="false" customHeight="false" outlineLevel="0" collapsed="false">
      <c r="A170" s="14"/>
      <c r="B170" s="14"/>
      <c r="C170" s="14"/>
      <c r="D170" s="14"/>
      <c r="E170" s="14"/>
      <c r="F170" s="15"/>
      <c r="G170" s="11"/>
      <c r="H170" s="11" t="str">
        <f aca="false">IF($F170="","",$F170*$G170)</f>
        <v/>
      </c>
      <c r="I170" s="11"/>
      <c r="J170" s="11"/>
      <c r="K170" s="11" t="str">
        <f aca="false">IF(OR($J170="",$G170=""),"",$J170-$G170)</f>
        <v/>
      </c>
      <c r="L170" s="12" t="str">
        <f aca="false">IF(OR($J170="",$J170=0),"",($J170-$G170)/$J170)</f>
        <v/>
      </c>
      <c r="M170" s="14"/>
      <c r="N170" s="14"/>
      <c r="O170" s="16"/>
      <c r="P170" s="14"/>
      <c r="Q170" s="14"/>
    </row>
    <row r="171" customFormat="false" ht="15" hidden="false" customHeight="false" outlineLevel="0" collapsed="false">
      <c r="A171" s="14"/>
      <c r="B171" s="14"/>
      <c r="C171" s="14"/>
      <c r="D171" s="14"/>
      <c r="E171" s="14"/>
      <c r="F171" s="15"/>
      <c r="G171" s="11"/>
      <c r="H171" s="11" t="str">
        <f aca="false">IF($F171="","",$F171*$G171)</f>
        <v/>
      </c>
      <c r="I171" s="11"/>
      <c r="J171" s="11"/>
      <c r="K171" s="11" t="str">
        <f aca="false">IF(OR($J171="",$G171=""),"",$J171-$G171)</f>
        <v/>
      </c>
      <c r="L171" s="12" t="str">
        <f aca="false">IF(OR($J171="",$J171=0),"",($J171-$G171)/$J171)</f>
        <v/>
      </c>
      <c r="M171" s="14"/>
      <c r="N171" s="14"/>
      <c r="O171" s="16"/>
      <c r="P171" s="14"/>
      <c r="Q171" s="14"/>
    </row>
    <row r="172" customFormat="false" ht="15" hidden="false" customHeight="false" outlineLevel="0" collapsed="false">
      <c r="A172" s="14"/>
      <c r="B172" s="14"/>
      <c r="C172" s="14"/>
      <c r="D172" s="14"/>
      <c r="E172" s="14"/>
      <c r="F172" s="15"/>
      <c r="G172" s="11"/>
      <c r="H172" s="11" t="str">
        <f aca="false">IF($F172="","",$F172*$G172)</f>
        <v/>
      </c>
      <c r="I172" s="11"/>
      <c r="J172" s="11"/>
      <c r="K172" s="11" t="str">
        <f aca="false">IF(OR($J172="",$G172=""),"",$J172-$G172)</f>
        <v/>
      </c>
      <c r="L172" s="12" t="str">
        <f aca="false">IF(OR($J172="",$J172=0),"",($J172-$G172)/$J172)</f>
        <v/>
      </c>
      <c r="M172" s="14"/>
      <c r="N172" s="14"/>
      <c r="O172" s="16"/>
      <c r="P172" s="14"/>
      <c r="Q172" s="14"/>
    </row>
    <row r="173" customFormat="false" ht="15" hidden="false" customHeight="false" outlineLevel="0" collapsed="false">
      <c r="A173" s="14"/>
      <c r="B173" s="14"/>
      <c r="C173" s="14"/>
      <c r="D173" s="14"/>
      <c r="E173" s="14"/>
      <c r="F173" s="15"/>
      <c r="G173" s="11"/>
      <c r="H173" s="11" t="str">
        <f aca="false">IF($F173="","",$F173*$G173)</f>
        <v/>
      </c>
      <c r="I173" s="11"/>
      <c r="J173" s="11"/>
      <c r="K173" s="11" t="str">
        <f aca="false">IF(OR($J173="",$G173=""),"",$J173-$G173)</f>
        <v/>
      </c>
      <c r="L173" s="12" t="str">
        <f aca="false">IF(OR($J173="",$J173=0),"",($J173-$G173)/$J173)</f>
        <v/>
      </c>
      <c r="M173" s="14"/>
      <c r="N173" s="14"/>
      <c r="O173" s="16"/>
      <c r="P173" s="14"/>
      <c r="Q173" s="14"/>
    </row>
    <row r="174" customFormat="false" ht="15" hidden="false" customHeight="false" outlineLevel="0" collapsed="false">
      <c r="A174" s="14"/>
      <c r="B174" s="14"/>
      <c r="C174" s="14"/>
      <c r="D174" s="14"/>
      <c r="E174" s="14"/>
      <c r="F174" s="15"/>
      <c r="G174" s="11"/>
      <c r="H174" s="11" t="str">
        <f aca="false">IF($F174="","",$F174*$G174)</f>
        <v/>
      </c>
      <c r="I174" s="11"/>
      <c r="J174" s="11"/>
      <c r="K174" s="11" t="str">
        <f aca="false">IF(OR($J174="",$G174=""),"",$J174-$G174)</f>
        <v/>
      </c>
      <c r="L174" s="12" t="str">
        <f aca="false">IF(OR($J174="",$J174=0),"",($J174-$G174)/$J174)</f>
        <v/>
      </c>
      <c r="M174" s="14"/>
      <c r="N174" s="14"/>
      <c r="O174" s="16"/>
      <c r="P174" s="14"/>
      <c r="Q174" s="14"/>
    </row>
    <row r="175" customFormat="false" ht="15" hidden="false" customHeight="false" outlineLevel="0" collapsed="false">
      <c r="A175" s="14"/>
      <c r="B175" s="14"/>
      <c r="C175" s="14"/>
      <c r="D175" s="14"/>
      <c r="E175" s="14"/>
      <c r="F175" s="15"/>
      <c r="G175" s="11"/>
      <c r="H175" s="11" t="str">
        <f aca="false">IF($F175="","",$F175*$G175)</f>
        <v/>
      </c>
      <c r="I175" s="11"/>
      <c r="J175" s="11"/>
      <c r="K175" s="11" t="str">
        <f aca="false">IF(OR($J175="",$G175=""),"",$J175-$G175)</f>
        <v/>
      </c>
      <c r="L175" s="12" t="str">
        <f aca="false">IF(OR($J175="",$J175=0),"",($J175-$G175)/$J175)</f>
        <v/>
      </c>
      <c r="M175" s="14"/>
      <c r="N175" s="14"/>
      <c r="O175" s="16"/>
      <c r="P175" s="14"/>
      <c r="Q175" s="14"/>
    </row>
    <row r="176" customFormat="false" ht="15" hidden="false" customHeight="false" outlineLevel="0" collapsed="false">
      <c r="A176" s="14"/>
      <c r="B176" s="14"/>
      <c r="C176" s="14"/>
      <c r="D176" s="14"/>
      <c r="E176" s="14"/>
      <c r="F176" s="15"/>
      <c r="G176" s="11"/>
      <c r="H176" s="11" t="str">
        <f aca="false">IF($F176="","",$F176*$G176)</f>
        <v/>
      </c>
      <c r="I176" s="11"/>
      <c r="J176" s="11"/>
      <c r="K176" s="11" t="str">
        <f aca="false">IF(OR($J176="",$G176=""),"",$J176-$G176)</f>
        <v/>
      </c>
      <c r="L176" s="12" t="str">
        <f aca="false">IF(OR($J176="",$J176=0),"",($J176-$G176)/$J176)</f>
        <v/>
      </c>
      <c r="M176" s="14"/>
      <c r="N176" s="14"/>
      <c r="O176" s="16"/>
      <c r="P176" s="14"/>
      <c r="Q176" s="14"/>
    </row>
    <row r="177" customFormat="false" ht="15" hidden="false" customHeight="false" outlineLevel="0" collapsed="false">
      <c r="A177" s="14"/>
      <c r="B177" s="14"/>
      <c r="C177" s="14"/>
      <c r="D177" s="14"/>
      <c r="E177" s="14"/>
      <c r="F177" s="15"/>
      <c r="G177" s="11"/>
      <c r="H177" s="11" t="str">
        <f aca="false">IF($F177="","",$F177*$G177)</f>
        <v/>
      </c>
      <c r="I177" s="11"/>
      <c r="J177" s="11"/>
      <c r="K177" s="11" t="str">
        <f aca="false">IF(OR($J177="",$G177=""),"",$J177-$G177)</f>
        <v/>
      </c>
      <c r="L177" s="12" t="str">
        <f aca="false">IF(OR($J177="",$J177=0),"",($J177-$G177)/$J177)</f>
        <v/>
      </c>
      <c r="M177" s="14"/>
      <c r="N177" s="14"/>
      <c r="O177" s="16"/>
      <c r="P177" s="14"/>
      <c r="Q177" s="14"/>
    </row>
    <row r="178" customFormat="false" ht="15" hidden="false" customHeight="false" outlineLevel="0" collapsed="false">
      <c r="A178" s="14"/>
      <c r="B178" s="14"/>
      <c r="C178" s="14"/>
      <c r="D178" s="14"/>
      <c r="E178" s="14"/>
      <c r="F178" s="15"/>
      <c r="G178" s="11"/>
      <c r="H178" s="11" t="str">
        <f aca="false">IF($F178="","",$F178*$G178)</f>
        <v/>
      </c>
      <c r="I178" s="11"/>
      <c r="J178" s="11"/>
      <c r="K178" s="11" t="str">
        <f aca="false">IF(OR($J178="",$G178=""),"",$J178-$G178)</f>
        <v/>
      </c>
      <c r="L178" s="12" t="str">
        <f aca="false">IF(OR($J178="",$J178=0),"",($J178-$G178)/$J178)</f>
        <v/>
      </c>
      <c r="M178" s="14"/>
      <c r="N178" s="14"/>
      <c r="O178" s="16"/>
      <c r="P178" s="14"/>
      <c r="Q178" s="14"/>
    </row>
    <row r="179" customFormat="false" ht="15" hidden="false" customHeight="false" outlineLevel="0" collapsed="false">
      <c r="A179" s="14"/>
      <c r="B179" s="14"/>
      <c r="C179" s="14"/>
      <c r="D179" s="14"/>
      <c r="E179" s="14"/>
      <c r="F179" s="15"/>
      <c r="G179" s="11"/>
      <c r="H179" s="11" t="str">
        <f aca="false">IF($F179="","",$F179*$G179)</f>
        <v/>
      </c>
      <c r="I179" s="11"/>
      <c r="J179" s="11"/>
      <c r="K179" s="11" t="str">
        <f aca="false">IF(OR($J179="",$G179=""),"",$J179-$G179)</f>
        <v/>
      </c>
      <c r="L179" s="12" t="str">
        <f aca="false">IF(OR($J179="",$J179=0),"",($J179-$G179)/$J179)</f>
        <v/>
      </c>
      <c r="M179" s="14"/>
      <c r="N179" s="14"/>
      <c r="O179" s="16"/>
      <c r="P179" s="14"/>
      <c r="Q179" s="14"/>
    </row>
    <row r="180" customFormat="false" ht="15" hidden="false" customHeight="false" outlineLevel="0" collapsed="false">
      <c r="A180" s="14"/>
      <c r="B180" s="14"/>
      <c r="C180" s="14"/>
      <c r="D180" s="14"/>
      <c r="E180" s="14"/>
      <c r="F180" s="15"/>
      <c r="G180" s="11"/>
      <c r="H180" s="11" t="str">
        <f aca="false">IF($F180="","",$F180*$G180)</f>
        <v/>
      </c>
      <c r="I180" s="11"/>
      <c r="J180" s="11"/>
      <c r="K180" s="11" t="str">
        <f aca="false">IF(OR($J180="",$G180=""),"",$J180-$G180)</f>
        <v/>
      </c>
      <c r="L180" s="12" t="str">
        <f aca="false">IF(OR($J180="",$J180=0),"",($J180-$G180)/$J180)</f>
        <v/>
      </c>
      <c r="M180" s="14"/>
      <c r="N180" s="14"/>
      <c r="O180" s="16"/>
      <c r="P180" s="14"/>
      <c r="Q180" s="14"/>
    </row>
    <row r="181" customFormat="false" ht="15" hidden="false" customHeight="false" outlineLevel="0" collapsed="false">
      <c r="A181" s="14"/>
      <c r="B181" s="14"/>
      <c r="C181" s="14"/>
      <c r="D181" s="14"/>
      <c r="E181" s="14"/>
      <c r="F181" s="15"/>
      <c r="G181" s="11"/>
      <c r="H181" s="11" t="str">
        <f aca="false">IF($F181="","",$F181*$G181)</f>
        <v/>
      </c>
      <c r="I181" s="11"/>
      <c r="J181" s="11"/>
      <c r="K181" s="11" t="str">
        <f aca="false">IF(OR($J181="",$G181=""),"",$J181-$G181)</f>
        <v/>
      </c>
      <c r="L181" s="12" t="str">
        <f aca="false">IF(OR($J181="",$J181=0),"",($J181-$G181)/$J181)</f>
        <v/>
      </c>
      <c r="M181" s="14"/>
      <c r="N181" s="14"/>
      <c r="O181" s="16"/>
      <c r="P181" s="14"/>
      <c r="Q181" s="14"/>
    </row>
    <row r="182" customFormat="false" ht="15" hidden="false" customHeight="false" outlineLevel="0" collapsed="false">
      <c r="A182" s="14"/>
      <c r="B182" s="14"/>
      <c r="C182" s="14"/>
      <c r="D182" s="14"/>
      <c r="E182" s="14"/>
      <c r="F182" s="15"/>
      <c r="G182" s="11"/>
      <c r="H182" s="11" t="str">
        <f aca="false">IF($F182="","",$F182*$G182)</f>
        <v/>
      </c>
      <c r="I182" s="11"/>
      <c r="J182" s="11"/>
      <c r="K182" s="11" t="str">
        <f aca="false">IF(OR($J182="",$G182=""),"",$J182-$G182)</f>
        <v/>
      </c>
      <c r="L182" s="12" t="str">
        <f aca="false">IF(OR($J182="",$J182=0),"",($J182-$G182)/$J182)</f>
        <v/>
      </c>
      <c r="M182" s="14"/>
      <c r="N182" s="14"/>
      <c r="O182" s="16"/>
      <c r="P182" s="14"/>
      <c r="Q182" s="14"/>
    </row>
    <row r="183" customFormat="false" ht="15" hidden="false" customHeight="false" outlineLevel="0" collapsed="false">
      <c r="A183" s="14"/>
      <c r="B183" s="14"/>
      <c r="C183" s="14"/>
      <c r="D183" s="14"/>
      <c r="E183" s="14"/>
      <c r="F183" s="15"/>
      <c r="G183" s="11"/>
      <c r="H183" s="11" t="str">
        <f aca="false">IF($F183="","",$F183*$G183)</f>
        <v/>
      </c>
      <c r="I183" s="11"/>
      <c r="J183" s="11"/>
      <c r="K183" s="11" t="str">
        <f aca="false">IF(OR($J183="",$G183=""),"",$J183-$G183)</f>
        <v/>
      </c>
      <c r="L183" s="12" t="str">
        <f aca="false">IF(OR($J183="",$J183=0),"",($J183-$G183)/$J183)</f>
        <v/>
      </c>
      <c r="M183" s="14"/>
      <c r="N183" s="14"/>
      <c r="O183" s="16"/>
      <c r="P183" s="14"/>
      <c r="Q183" s="14"/>
    </row>
    <row r="184" customFormat="false" ht="15" hidden="false" customHeight="false" outlineLevel="0" collapsed="false">
      <c r="A184" s="14"/>
      <c r="B184" s="14"/>
      <c r="C184" s="14"/>
      <c r="D184" s="14"/>
      <c r="E184" s="14"/>
      <c r="F184" s="15"/>
      <c r="G184" s="11"/>
      <c r="H184" s="11" t="str">
        <f aca="false">IF($F184="","",$F184*$G184)</f>
        <v/>
      </c>
      <c r="I184" s="11"/>
      <c r="J184" s="11"/>
      <c r="K184" s="11" t="str">
        <f aca="false">IF(OR($J184="",$G184=""),"",$J184-$G184)</f>
        <v/>
      </c>
      <c r="L184" s="12" t="str">
        <f aca="false">IF(OR($J184="",$J184=0),"",($J184-$G184)/$J184)</f>
        <v/>
      </c>
      <c r="M184" s="14"/>
      <c r="N184" s="14"/>
      <c r="O184" s="16"/>
      <c r="P184" s="14"/>
      <c r="Q184" s="14"/>
    </row>
    <row r="185" customFormat="false" ht="15" hidden="false" customHeight="false" outlineLevel="0" collapsed="false">
      <c r="A185" s="14"/>
      <c r="B185" s="14"/>
      <c r="C185" s="14"/>
      <c r="D185" s="14"/>
      <c r="E185" s="14"/>
      <c r="F185" s="15"/>
      <c r="G185" s="11"/>
      <c r="H185" s="11" t="str">
        <f aca="false">IF($F185="","",$F185*$G185)</f>
        <v/>
      </c>
      <c r="I185" s="11"/>
      <c r="J185" s="11"/>
      <c r="K185" s="11" t="str">
        <f aca="false">IF(OR($J185="",$G185=""),"",$J185-$G185)</f>
        <v/>
      </c>
      <c r="L185" s="12" t="str">
        <f aca="false">IF(OR($J185="",$J185=0),"",($J185-$G185)/$J185)</f>
        <v/>
      </c>
      <c r="M185" s="14"/>
      <c r="N185" s="14"/>
      <c r="O185" s="16"/>
      <c r="P185" s="14"/>
      <c r="Q185" s="14"/>
    </row>
    <row r="186" customFormat="false" ht="15" hidden="false" customHeight="false" outlineLevel="0" collapsed="false">
      <c r="A186" s="14"/>
      <c r="B186" s="14"/>
      <c r="C186" s="14"/>
      <c r="D186" s="14"/>
      <c r="E186" s="14"/>
      <c r="F186" s="15"/>
      <c r="G186" s="11"/>
      <c r="H186" s="11" t="str">
        <f aca="false">IF($F186="","",$F186*$G186)</f>
        <v/>
      </c>
      <c r="I186" s="11"/>
      <c r="J186" s="11"/>
      <c r="K186" s="11" t="str">
        <f aca="false">IF(OR($J186="",$G186=""),"",$J186-$G186)</f>
        <v/>
      </c>
      <c r="L186" s="12" t="str">
        <f aca="false">IF(OR($J186="",$J186=0),"",($J186-$G186)/$J186)</f>
        <v/>
      </c>
      <c r="M186" s="14"/>
      <c r="N186" s="14"/>
      <c r="O186" s="16"/>
      <c r="P186" s="14"/>
      <c r="Q186" s="14"/>
    </row>
    <row r="187" customFormat="false" ht="15" hidden="false" customHeight="false" outlineLevel="0" collapsed="false">
      <c r="A187" s="14"/>
      <c r="B187" s="14"/>
      <c r="C187" s="14"/>
      <c r="D187" s="14"/>
      <c r="E187" s="14"/>
      <c r="F187" s="15"/>
      <c r="G187" s="11"/>
      <c r="H187" s="11" t="str">
        <f aca="false">IF($F187="","",$F187*$G187)</f>
        <v/>
      </c>
      <c r="I187" s="11"/>
      <c r="J187" s="11"/>
      <c r="K187" s="11" t="str">
        <f aca="false">IF(OR($J187="",$G187=""),"",$J187-$G187)</f>
        <v/>
      </c>
      <c r="L187" s="12" t="str">
        <f aca="false">IF(OR($J187="",$J187=0),"",($J187-$G187)/$J187)</f>
        <v/>
      </c>
      <c r="M187" s="14"/>
      <c r="N187" s="14"/>
      <c r="O187" s="16"/>
      <c r="P187" s="14"/>
      <c r="Q187" s="14"/>
    </row>
    <row r="188" customFormat="false" ht="15" hidden="false" customHeight="false" outlineLevel="0" collapsed="false">
      <c r="A188" s="14"/>
      <c r="B188" s="14"/>
      <c r="C188" s="14"/>
      <c r="D188" s="14"/>
      <c r="E188" s="14"/>
      <c r="F188" s="15"/>
      <c r="G188" s="11"/>
      <c r="H188" s="11" t="str">
        <f aca="false">IF($F188="","",$F188*$G188)</f>
        <v/>
      </c>
      <c r="I188" s="11"/>
      <c r="J188" s="11"/>
      <c r="K188" s="11" t="str">
        <f aca="false">IF(OR($J188="",$G188=""),"",$J188-$G188)</f>
        <v/>
      </c>
      <c r="L188" s="12" t="str">
        <f aca="false">IF(OR($J188="",$J188=0),"",($J188-$G188)/$J188)</f>
        <v/>
      </c>
      <c r="M188" s="14"/>
      <c r="N188" s="14"/>
      <c r="O188" s="16"/>
      <c r="P188" s="14"/>
      <c r="Q188" s="14"/>
    </row>
    <row r="189" customFormat="false" ht="15" hidden="false" customHeight="false" outlineLevel="0" collapsed="false">
      <c r="A189" s="14"/>
      <c r="B189" s="14"/>
      <c r="C189" s="14"/>
      <c r="D189" s="14"/>
      <c r="E189" s="14"/>
      <c r="F189" s="15"/>
      <c r="G189" s="11"/>
      <c r="H189" s="11" t="str">
        <f aca="false">IF($F189="","",$F189*$G189)</f>
        <v/>
      </c>
      <c r="I189" s="11"/>
      <c r="J189" s="11"/>
      <c r="K189" s="11" t="str">
        <f aca="false">IF(OR($J189="",$G189=""),"",$J189-$G189)</f>
        <v/>
      </c>
      <c r="L189" s="12" t="str">
        <f aca="false">IF(OR($J189="",$J189=0),"",($J189-$G189)/$J189)</f>
        <v/>
      </c>
      <c r="M189" s="14"/>
      <c r="N189" s="14"/>
      <c r="O189" s="16"/>
      <c r="P189" s="14"/>
      <c r="Q189" s="14"/>
    </row>
    <row r="190" customFormat="false" ht="15" hidden="false" customHeight="false" outlineLevel="0" collapsed="false">
      <c r="A190" s="14"/>
      <c r="B190" s="14"/>
      <c r="C190" s="14"/>
      <c r="D190" s="14"/>
      <c r="E190" s="14"/>
      <c r="F190" s="15"/>
      <c r="G190" s="11"/>
      <c r="H190" s="11" t="str">
        <f aca="false">IF($F190="","",$F190*$G190)</f>
        <v/>
      </c>
      <c r="I190" s="11"/>
      <c r="J190" s="11"/>
      <c r="K190" s="11" t="str">
        <f aca="false">IF(OR($J190="",$G190=""),"",$J190-$G190)</f>
        <v/>
      </c>
      <c r="L190" s="12" t="str">
        <f aca="false">IF(OR($J190="",$J190=0),"",($J190-$G190)/$J190)</f>
        <v/>
      </c>
      <c r="M190" s="14"/>
      <c r="N190" s="14"/>
      <c r="O190" s="16"/>
      <c r="P190" s="14"/>
      <c r="Q190" s="14"/>
    </row>
    <row r="191" customFormat="false" ht="15" hidden="false" customHeight="false" outlineLevel="0" collapsed="false">
      <c r="A191" s="14"/>
      <c r="B191" s="14"/>
      <c r="C191" s="14"/>
      <c r="D191" s="14"/>
      <c r="E191" s="14"/>
      <c r="F191" s="15"/>
      <c r="G191" s="11"/>
      <c r="H191" s="11" t="str">
        <f aca="false">IF($F191="","",$F191*$G191)</f>
        <v/>
      </c>
      <c r="I191" s="11"/>
      <c r="J191" s="11"/>
      <c r="K191" s="11" t="str">
        <f aca="false">IF(OR($J191="",$G191=""),"",$J191-$G191)</f>
        <v/>
      </c>
      <c r="L191" s="12" t="str">
        <f aca="false">IF(OR($J191="",$J191=0),"",($J191-$G191)/$J191)</f>
        <v/>
      </c>
      <c r="M191" s="14"/>
      <c r="N191" s="14"/>
      <c r="O191" s="16"/>
      <c r="P191" s="14"/>
      <c r="Q191" s="14"/>
    </row>
    <row r="192" customFormat="false" ht="15" hidden="false" customHeight="false" outlineLevel="0" collapsed="false">
      <c r="A192" s="14"/>
      <c r="B192" s="14"/>
      <c r="C192" s="14"/>
      <c r="D192" s="14"/>
      <c r="E192" s="14"/>
      <c r="F192" s="15"/>
      <c r="G192" s="11"/>
      <c r="H192" s="11" t="str">
        <f aca="false">IF($F192="","",$F192*$G192)</f>
        <v/>
      </c>
      <c r="I192" s="11"/>
      <c r="J192" s="11"/>
      <c r="K192" s="11" t="str">
        <f aca="false">IF(OR($J192="",$G192=""),"",$J192-$G192)</f>
        <v/>
      </c>
      <c r="L192" s="12" t="str">
        <f aca="false">IF(OR($J192="",$J192=0),"",($J192-$G192)/$J192)</f>
        <v/>
      </c>
      <c r="M192" s="14"/>
      <c r="N192" s="14"/>
      <c r="O192" s="16"/>
      <c r="P192" s="14"/>
      <c r="Q192" s="14"/>
    </row>
    <row r="193" customFormat="false" ht="15" hidden="false" customHeight="false" outlineLevel="0" collapsed="false">
      <c r="A193" s="14"/>
      <c r="B193" s="14"/>
      <c r="C193" s="14"/>
      <c r="D193" s="14"/>
      <c r="E193" s="14"/>
      <c r="F193" s="15"/>
      <c r="G193" s="11"/>
      <c r="H193" s="11" t="str">
        <f aca="false">IF($F193="","",$F193*$G193)</f>
        <v/>
      </c>
      <c r="I193" s="11"/>
      <c r="J193" s="11"/>
      <c r="K193" s="11" t="str">
        <f aca="false">IF(OR($J193="",$G193=""),"",$J193-$G193)</f>
        <v/>
      </c>
      <c r="L193" s="12" t="str">
        <f aca="false">IF(OR($J193="",$J193=0),"",($J193-$G193)/$J193)</f>
        <v/>
      </c>
      <c r="M193" s="14"/>
      <c r="N193" s="14"/>
      <c r="O193" s="16"/>
      <c r="P193" s="14"/>
      <c r="Q193" s="14"/>
    </row>
    <row r="194" customFormat="false" ht="15" hidden="false" customHeight="false" outlineLevel="0" collapsed="false">
      <c r="A194" s="14"/>
      <c r="B194" s="14"/>
      <c r="C194" s="14"/>
      <c r="D194" s="14"/>
      <c r="E194" s="14"/>
      <c r="F194" s="15"/>
      <c r="G194" s="11"/>
      <c r="H194" s="11" t="str">
        <f aca="false">IF($F194="","",$F194*$G194)</f>
        <v/>
      </c>
      <c r="I194" s="11"/>
      <c r="J194" s="11"/>
      <c r="K194" s="11" t="str">
        <f aca="false">IF(OR($J194="",$G194=""),"",$J194-$G194)</f>
        <v/>
      </c>
      <c r="L194" s="12" t="str">
        <f aca="false">IF(OR($J194="",$J194=0),"",($J194-$G194)/$J194)</f>
        <v/>
      </c>
      <c r="M194" s="14"/>
      <c r="N194" s="14"/>
      <c r="O194" s="16"/>
      <c r="P194" s="14"/>
      <c r="Q194" s="14"/>
    </row>
    <row r="195" customFormat="false" ht="15" hidden="false" customHeight="false" outlineLevel="0" collapsed="false">
      <c r="A195" s="14"/>
      <c r="B195" s="14"/>
      <c r="C195" s="14"/>
      <c r="D195" s="14"/>
      <c r="E195" s="14"/>
      <c r="F195" s="15"/>
      <c r="G195" s="11"/>
      <c r="H195" s="11" t="str">
        <f aca="false">IF($F195="","",$F195*$G195)</f>
        <v/>
      </c>
      <c r="I195" s="11"/>
      <c r="J195" s="11"/>
      <c r="K195" s="11" t="str">
        <f aca="false">IF(OR($J195="",$G195=""),"",$J195-$G195)</f>
        <v/>
      </c>
      <c r="L195" s="12" t="str">
        <f aca="false">IF(OR($J195="",$J195=0),"",($J195-$G195)/$J195)</f>
        <v/>
      </c>
      <c r="M195" s="14"/>
      <c r="N195" s="14"/>
      <c r="O195" s="16"/>
      <c r="P195" s="14"/>
      <c r="Q195" s="14"/>
    </row>
    <row r="196" customFormat="false" ht="15" hidden="false" customHeight="false" outlineLevel="0" collapsed="false">
      <c r="A196" s="14"/>
      <c r="B196" s="14"/>
      <c r="C196" s="14"/>
      <c r="D196" s="14"/>
      <c r="E196" s="14"/>
      <c r="F196" s="15"/>
      <c r="G196" s="11"/>
      <c r="H196" s="11" t="str">
        <f aca="false">IF($F196="","",$F196*$G196)</f>
        <v/>
      </c>
      <c r="I196" s="11"/>
      <c r="J196" s="11"/>
      <c r="K196" s="11" t="str">
        <f aca="false">IF(OR($J196="",$G196=""),"",$J196-$G196)</f>
        <v/>
      </c>
      <c r="L196" s="12" t="str">
        <f aca="false">IF(OR($J196="",$J196=0),"",($J196-$G196)/$J196)</f>
        <v/>
      </c>
      <c r="M196" s="14"/>
      <c r="N196" s="14"/>
      <c r="O196" s="16"/>
      <c r="P196" s="14"/>
      <c r="Q196" s="14"/>
    </row>
    <row r="197" customFormat="false" ht="15" hidden="false" customHeight="false" outlineLevel="0" collapsed="false">
      <c r="A197" s="14"/>
      <c r="B197" s="14"/>
      <c r="C197" s="14"/>
      <c r="D197" s="14"/>
      <c r="E197" s="14"/>
      <c r="F197" s="15"/>
      <c r="G197" s="11"/>
      <c r="H197" s="11" t="str">
        <f aca="false">IF($F197="","",$F197*$G197)</f>
        <v/>
      </c>
      <c r="I197" s="11"/>
      <c r="J197" s="11"/>
      <c r="K197" s="11" t="str">
        <f aca="false">IF(OR($J197="",$G197=""),"",$J197-$G197)</f>
        <v/>
      </c>
      <c r="L197" s="12" t="str">
        <f aca="false">IF(OR($J197="",$J197=0),"",($J197-$G197)/$J197)</f>
        <v/>
      </c>
      <c r="M197" s="14"/>
      <c r="N197" s="14"/>
      <c r="O197" s="16"/>
      <c r="P197" s="14"/>
      <c r="Q197" s="14"/>
    </row>
    <row r="198" customFormat="false" ht="15" hidden="false" customHeight="false" outlineLevel="0" collapsed="false">
      <c r="A198" s="14"/>
      <c r="B198" s="14"/>
      <c r="C198" s="14"/>
      <c r="D198" s="14"/>
      <c r="E198" s="14"/>
      <c r="F198" s="15"/>
      <c r="G198" s="11"/>
      <c r="H198" s="11" t="str">
        <f aca="false">IF($F198="","",$F198*$G198)</f>
        <v/>
      </c>
      <c r="I198" s="11"/>
      <c r="J198" s="11"/>
      <c r="K198" s="11" t="str">
        <f aca="false">IF(OR($J198="",$G198=""),"",$J198-$G198)</f>
        <v/>
      </c>
      <c r="L198" s="12" t="str">
        <f aca="false">IF(OR($J198="",$J198=0),"",($J198-$G198)/$J198)</f>
        <v/>
      </c>
      <c r="M198" s="14"/>
      <c r="N198" s="14"/>
      <c r="O198" s="16"/>
      <c r="P198" s="14"/>
      <c r="Q198" s="14"/>
    </row>
    <row r="199" customFormat="false" ht="15" hidden="false" customHeight="false" outlineLevel="0" collapsed="false">
      <c r="A199" s="14"/>
      <c r="B199" s="14"/>
      <c r="C199" s="14"/>
      <c r="D199" s="14"/>
      <c r="E199" s="14"/>
      <c r="F199" s="15"/>
      <c r="G199" s="11"/>
      <c r="H199" s="11" t="str">
        <f aca="false">IF($F199="","",$F199*$G199)</f>
        <v/>
      </c>
      <c r="I199" s="11"/>
      <c r="J199" s="11"/>
      <c r="K199" s="11" t="str">
        <f aca="false">IF(OR($J199="",$G199=""),"",$J199-$G199)</f>
        <v/>
      </c>
      <c r="L199" s="12" t="str">
        <f aca="false">IF(OR($J199="",$J199=0),"",($J199-$G199)/$J199)</f>
        <v/>
      </c>
      <c r="M199" s="14"/>
      <c r="N199" s="14"/>
      <c r="O199" s="16"/>
      <c r="P199" s="14"/>
      <c r="Q199" s="14"/>
    </row>
    <row r="200" customFormat="false" ht="15" hidden="false" customHeight="false" outlineLevel="0" collapsed="false">
      <c r="A200" s="14"/>
      <c r="B200" s="14"/>
      <c r="C200" s="14"/>
      <c r="D200" s="14"/>
      <c r="E200" s="14"/>
      <c r="F200" s="15"/>
      <c r="G200" s="11"/>
      <c r="H200" s="11" t="str">
        <f aca="false">IF($F200="","",$F200*$G200)</f>
        <v/>
      </c>
      <c r="I200" s="11"/>
      <c r="J200" s="11"/>
      <c r="K200" s="11" t="str">
        <f aca="false">IF(OR($J200="",$G200=""),"",$J200-$G200)</f>
        <v/>
      </c>
      <c r="L200" s="12" t="str">
        <f aca="false">IF(OR($J200="",$J200=0),"",($J200-$G200)/$J200)</f>
        <v/>
      </c>
      <c r="M200" s="14"/>
      <c r="N200" s="14"/>
      <c r="O200" s="16"/>
      <c r="P200" s="14"/>
      <c r="Q200" s="14"/>
    </row>
    <row r="201" customFormat="false" ht="15" hidden="false" customHeight="false" outlineLevel="0" collapsed="false">
      <c r="A201" s="14"/>
      <c r="B201" s="14"/>
      <c r="C201" s="14"/>
      <c r="D201" s="14"/>
      <c r="E201" s="14"/>
      <c r="F201" s="15"/>
      <c r="G201" s="11"/>
      <c r="H201" s="11" t="str">
        <f aca="false">IF($F201="","",$F201*$G201)</f>
        <v/>
      </c>
      <c r="I201" s="11"/>
      <c r="J201" s="11"/>
      <c r="K201" s="11" t="str">
        <f aca="false">IF(OR($J201="",$G201=""),"",$J201-$G201)</f>
        <v/>
      </c>
      <c r="L201" s="12" t="str">
        <f aca="false">IF(OR($J201="",$J201=0),"",($J201-$G201)/$J201)</f>
        <v/>
      </c>
      <c r="M201" s="14"/>
      <c r="N201" s="14"/>
      <c r="O201" s="16"/>
      <c r="P201" s="14"/>
      <c r="Q201" s="14"/>
    </row>
    <row r="202" customFormat="false" ht="15" hidden="false" customHeight="false" outlineLevel="0" collapsed="false">
      <c r="A202" s="14"/>
      <c r="B202" s="14"/>
      <c r="C202" s="14"/>
      <c r="D202" s="14"/>
      <c r="E202" s="14"/>
      <c r="F202" s="15"/>
      <c r="G202" s="11"/>
      <c r="H202" s="11" t="str">
        <f aca="false">IF($F202="","",$F202*$G202)</f>
        <v/>
      </c>
      <c r="I202" s="11"/>
      <c r="J202" s="11"/>
      <c r="K202" s="11" t="str">
        <f aca="false">IF(OR($J202="",$G202=""),"",$J202-$G202)</f>
        <v/>
      </c>
      <c r="L202" s="12" t="str">
        <f aca="false">IF(OR($J202="",$J202=0),"",($J202-$G202)/$J202)</f>
        <v/>
      </c>
      <c r="M202" s="14"/>
      <c r="N202" s="14"/>
      <c r="O202" s="16"/>
      <c r="P202" s="14"/>
      <c r="Q202" s="14"/>
    </row>
    <row r="203" customFormat="false" ht="15" hidden="false" customHeight="false" outlineLevel="0" collapsed="false">
      <c r="A203" s="14"/>
      <c r="B203" s="14"/>
      <c r="C203" s="14"/>
      <c r="D203" s="14"/>
      <c r="E203" s="14"/>
      <c r="F203" s="15"/>
      <c r="G203" s="11"/>
      <c r="H203" s="11" t="str">
        <f aca="false">IF($F203="","",$F203*$G203)</f>
        <v/>
      </c>
      <c r="I203" s="11"/>
      <c r="J203" s="11"/>
      <c r="K203" s="11" t="str">
        <f aca="false">IF(OR($J203="",$G203=""),"",$J203-$G203)</f>
        <v/>
      </c>
      <c r="L203" s="12" t="str">
        <f aca="false">IF(OR($J203="",$J203=0),"",($J203-$G203)/$J203)</f>
        <v/>
      </c>
      <c r="M203" s="14"/>
      <c r="N203" s="14"/>
      <c r="O203" s="16"/>
      <c r="P203" s="14"/>
      <c r="Q203" s="14"/>
    </row>
    <row r="204" customFormat="false" ht="15" hidden="false" customHeight="false" outlineLevel="0" collapsed="false">
      <c r="A204" s="14"/>
      <c r="B204" s="14"/>
      <c r="C204" s="14"/>
      <c r="D204" s="14"/>
      <c r="E204" s="14"/>
      <c r="F204" s="15"/>
      <c r="G204" s="11"/>
      <c r="H204" s="11" t="str">
        <f aca="false">IF($F204="","",$F204*$G204)</f>
        <v/>
      </c>
      <c r="I204" s="11"/>
      <c r="J204" s="11"/>
      <c r="K204" s="11" t="str">
        <f aca="false">IF(OR($J204="",$G204=""),"",$J204-$G204)</f>
        <v/>
      </c>
      <c r="L204" s="12" t="str">
        <f aca="false">IF(OR($J204="",$J204=0),"",($J204-$G204)/$J204)</f>
        <v/>
      </c>
      <c r="M204" s="14"/>
      <c r="N204" s="14"/>
      <c r="O204" s="16"/>
      <c r="P204" s="14"/>
      <c r="Q204" s="14"/>
    </row>
    <row r="205" customFormat="false" ht="15" hidden="false" customHeight="false" outlineLevel="0" collapsed="false">
      <c r="A205" s="14"/>
      <c r="B205" s="14"/>
      <c r="C205" s="14"/>
      <c r="D205" s="14"/>
      <c r="E205" s="14"/>
      <c r="F205" s="15"/>
      <c r="G205" s="11"/>
      <c r="H205" s="11" t="str">
        <f aca="false">IF($F205="","",$F205*$G205)</f>
        <v/>
      </c>
      <c r="I205" s="11"/>
      <c r="J205" s="11"/>
      <c r="K205" s="11" t="str">
        <f aca="false">IF(OR($J205="",$G205=""),"",$J205-$G205)</f>
        <v/>
      </c>
      <c r="L205" s="12" t="str">
        <f aca="false">IF(OR($J205="",$J205=0),"",($J205-$G205)/$J205)</f>
        <v/>
      </c>
      <c r="M205" s="14"/>
      <c r="N205" s="14"/>
      <c r="O205" s="16"/>
      <c r="P205" s="14"/>
      <c r="Q205" s="14"/>
    </row>
    <row r="206" customFormat="false" ht="15" hidden="false" customHeight="false" outlineLevel="0" collapsed="false">
      <c r="A206" s="14"/>
      <c r="B206" s="14"/>
      <c r="C206" s="14"/>
      <c r="D206" s="14"/>
      <c r="E206" s="14"/>
      <c r="F206" s="15"/>
      <c r="G206" s="11"/>
      <c r="H206" s="11" t="str">
        <f aca="false">IF($F206="","",$F206*$G206)</f>
        <v/>
      </c>
      <c r="I206" s="11"/>
      <c r="J206" s="11"/>
      <c r="K206" s="11" t="str">
        <f aca="false">IF(OR($J206="",$G206=""),"",$J206-$G206)</f>
        <v/>
      </c>
      <c r="L206" s="12" t="str">
        <f aca="false">IF(OR($J206="",$J206=0),"",($J206-$G206)/$J206)</f>
        <v/>
      </c>
      <c r="M206" s="14"/>
      <c r="N206" s="14"/>
      <c r="O206" s="16"/>
      <c r="P206" s="14"/>
      <c r="Q206" s="14"/>
    </row>
    <row r="207" customFormat="false" ht="15" hidden="false" customHeight="false" outlineLevel="0" collapsed="false">
      <c r="A207" s="14"/>
      <c r="B207" s="14"/>
      <c r="C207" s="14"/>
      <c r="D207" s="14"/>
      <c r="E207" s="14"/>
      <c r="F207" s="15"/>
      <c r="G207" s="11"/>
      <c r="H207" s="11" t="str">
        <f aca="false">IF($F207="","",$F207*$G207)</f>
        <v/>
      </c>
      <c r="I207" s="11"/>
      <c r="J207" s="11"/>
      <c r="K207" s="11" t="str">
        <f aca="false">IF(OR($J207="",$G207=""),"",$J207-$G207)</f>
        <v/>
      </c>
      <c r="L207" s="12" t="str">
        <f aca="false">IF(OR($J207="",$J207=0),"",($J207-$G207)/$J207)</f>
        <v/>
      </c>
      <c r="M207" s="14"/>
      <c r="N207" s="14"/>
      <c r="O207" s="16"/>
      <c r="P207" s="14"/>
      <c r="Q207" s="14"/>
    </row>
    <row r="208" customFormat="false" ht="15" hidden="false" customHeight="false" outlineLevel="0" collapsed="false">
      <c r="A208" s="14"/>
      <c r="B208" s="14"/>
      <c r="C208" s="14"/>
      <c r="D208" s="14"/>
      <c r="E208" s="14"/>
      <c r="F208" s="15"/>
      <c r="G208" s="11"/>
      <c r="H208" s="11" t="str">
        <f aca="false">IF($F208="","",$F208*$G208)</f>
        <v/>
      </c>
      <c r="I208" s="11"/>
      <c r="J208" s="11"/>
      <c r="K208" s="11" t="str">
        <f aca="false">IF(OR($J208="",$G208=""),"",$J208-$G208)</f>
        <v/>
      </c>
      <c r="L208" s="12" t="str">
        <f aca="false">IF(OR($J208="",$J208=0),"",($J208-$G208)/$J208)</f>
        <v/>
      </c>
      <c r="M208" s="14"/>
      <c r="N208" s="14"/>
      <c r="O208" s="16"/>
      <c r="P208" s="14"/>
      <c r="Q208" s="14"/>
    </row>
    <row r="209" customFormat="false" ht="15" hidden="false" customHeight="false" outlineLevel="0" collapsed="false">
      <c r="A209" s="14"/>
      <c r="B209" s="14"/>
      <c r="C209" s="14"/>
      <c r="D209" s="14"/>
      <c r="E209" s="14"/>
      <c r="F209" s="15"/>
      <c r="G209" s="11"/>
      <c r="H209" s="11" t="str">
        <f aca="false">IF($F209="","",$F209*$G209)</f>
        <v/>
      </c>
      <c r="I209" s="11"/>
      <c r="J209" s="11"/>
      <c r="K209" s="11" t="str">
        <f aca="false">IF(OR($J209="",$G209=""),"",$J209-$G209)</f>
        <v/>
      </c>
      <c r="L209" s="12" t="str">
        <f aca="false">IF(OR($J209="",$J209=0),"",($J209-$G209)/$J209)</f>
        <v/>
      </c>
      <c r="M209" s="14"/>
      <c r="N209" s="14"/>
      <c r="O209" s="16"/>
      <c r="P209" s="14"/>
      <c r="Q209" s="14"/>
    </row>
    <row r="210" customFormat="false" ht="15" hidden="false" customHeight="false" outlineLevel="0" collapsed="false">
      <c r="A210" s="14"/>
      <c r="B210" s="14"/>
      <c r="C210" s="14"/>
      <c r="D210" s="14"/>
      <c r="E210" s="14"/>
      <c r="F210" s="15"/>
      <c r="G210" s="11"/>
      <c r="H210" s="11" t="str">
        <f aca="false">IF($F210="","",$F210*$G210)</f>
        <v/>
      </c>
      <c r="I210" s="11"/>
      <c r="J210" s="11"/>
      <c r="K210" s="11" t="str">
        <f aca="false">IF(OR($J210="",$G210=""),"",$J210-$G210)</f>
        <v/>
      </c>
      <c r="L210" s="12" t="str">
        <f aca="false">IF(OR($J210="",$J210=0),"",($J210-$G210)/$J210)</f>
        <v/>
      </c>
      <c r="M210" s="14"/>
      <c r="N210" s="14"/>
      <c r="O210" s="16"/>
      <c r="P210" s="14"/>
      <c r="Q210" s="14"/>
    </row>
    <row r="211" customFormat="false" ht="15" hidden="false" customHeight="false" outlineLevel="0" collapsed="false">
      <c r="A211" s="14"/>
      <c r="B211" s="14"/>
      <c r="C211" s="14"/>
      <c r="D211" s="14"/>
      <c r="E211" s="14"/>
      <c r="F211" s="15"/>
      <c r="G211" s="11"/>
      <c r="H211" s="11" t="str">
        <f aca="false">IF($F211="","",$F211*$G211)</f>
        <v/>
      </c>
      <c r="I211" s="11"/>
      <c r="J211" s="11"/>
      <c r="K211" s="11" t="str">
        <f aca="false">IF(OR($J211="",$G211=""),"",$J211-$G211)</f>
        <v/>
      </c>
      <c r="L211" s="12" t="str">
        <f aca="false">IF(OR($J211="",$J211=0),"",($J211-$G211)/$J211)</f>
        <v/>
      </c>
      <c r="M211" s="14"/>
      <c r="N211" s="14"/>
      <c r="O211" s="16"/>
      <c r="P211" s="14"/>
      <c r="Q211" s="14"/>
    </row>
    <row r="212" customFormat="false" ht="15" hidden="false" customHeight="false" outlineLevel="0" collapsed="false">
      <c r="A212" s="14"/>
      <c r="B212" s="14"/>
      <c r="C212" s="14"/>
      <c r="D212" s="14"/>
      <c r="E212" s="14"/>
      <c r="F212" s="15"/>
      <c r="G212" s="11"/>
      <c r="H212" s="11" t="str">
        <f aca="false">IF($F212="","",$F212*$G212)</f>
        <v/>
      </c>
      <c r="I212" s="11"/>
      <c r="J212" s="11"/>
      <c r="K212" s="11" t="str">
        <f aca="false">IF(OR($J212="",$G212=""),"",$J212-$G212)</f>
        <v/>
      </c>
      <c r="L212" s="12" t="str">
        <f aca="false">IF(OR($J212="",$J212=0),"",($J212-$G212)/$J212)</f>
        <v/>
      </c>
      <c r="M212" s="14"/>
      <c r="N212" s="14"/>
      <c r="O212" s="16"/>
      <c r="P212" s="14"/>
      <c r="Q212" s="14"/>
    </row>
    <row r="213" customFormat="false" ht="15" hidden="false" customHeight="false" outlineLevel="0" collapsed="false">
      <c r="A213" s="14"/>
      <c r="B213" s="14"/>
      <c r="C213" s="14"/>
      <c r="D213" s="14"/>
      <c r="E213" s="14"/>
      <c r="F213" s="15"/>
      <c r="G213" s="11"/>
      <c r="H213" s="11" t="str">
        <f aca="false">IF($F213="","",$F213*$G213)</f>
        <v/>
      </c>
      <c r="I213" s="11"/>
      <c r="J213" s="11"/>
      <c r="K213" s="11" t="str">
        <f aca="false">IF(OR($J213="",$G213=""),"",$J213-$G213)</f>
        <v/>
      </c>
      <c r="L213" s="12" t="str">
        <f aca="false">IF(OR($J213="",$J213=0),"",($J213-$G213)/$J213)</f>
        <v/>
      </c>
      <c r="M213" s="14"/>
      <c r="N213" s="14"/>
      <c r="O213" s="16"/>
      <c r="P213" s="14"/>
      <c r="Q213" s="14"/>
    </row>
    <row r="214" customFormat="false" ht="15" hidden="false" customHeight="false" outlineLevel="0" collapsed="false">
      <c r="A214" s="14"/>
      <c r="B214" s="14"/>
      <c r="C214" s="14"/>
      <c r="D214" s="14"/>
      <c r="E214" s="14"/>
      <c r="F214" s="15"/>
      <c r="G214" s="11"/>
      <c r="H214" s="11" t="str">
        <f aca="false">IF($F214="","",$F214*$G214)</f>
        <v/>
      </c>
      <c r="I214" s="11"/>
      <c r="J214" s="11"/>
      <c r="K214" s="11" t="str">
        <f aca="false">IF(OR($J214="",$G214=""),"",$J214-$G214)</f>
        <v/>
      </c>
      <c r="L214" s="12" t="str">
        <f aca="false">IF(OR($J214="",$J214=0),"",($J214-$G214)/$J214)</f>
        <v/>
      </c>
      <c r="M214" s="14"/>
      <c r="N214" s="14"/>
      <c r="O214" s="16"/>
      <c r="P214" s="14"/>
      <c r="Q214" s="14"/>
    </row>
    <row r="215" customFormat="false" ht="15" hidden="false" customHeight="false" outlineLevel="0" collapsed="false">
      <c r="A215" s="14"/>
      <c r="B215" s="14"/>
      <c r="C215" s="14"/>
      <c r="D215" s="14"/>
      <c r="E215" s="14"/>
      <c r="F215" s="15"/>
      <c r="G215" s="11"/>
      <c r="H215" s="11" t="str">
        <f aca="false">IF($F215="","",$F215*$G215)</f>
        <v/>
      </c>
      <c r="I215" s="11"/>
      <c r="J215" s="11"/>
      <c r="K215" s="11" t="str">
        <f aca="false">IF(OR($J215="",$G215=""),"",$J215-$G215)</f>
        <v/>
      </c>
      <c r="L215" s="12" t="str">
        <f aca="false">IF(OR($J215="",$J215=0),"",($J215-$G215)/$J215)</f>
        <v/>
      </c>
      <c r="M215" s="14"/>
      <c r="N215" s="14"/>
      <c r="O215" s="16"/>
      <c r="P215" s="14"/>
      <c r="Q215" s="14"/>
    </row>
    <row r="216" customFormat="false" ht="15" hidden="false" customHeight="false" outlineLevel="0" collapsed="false">
      <c r="A216" s="14"/>
      <c r="B216" s="14"/>
      <c r="C216" s="14"/>
      <c r="D216" s="14"/>
      <c r="E216" s="14"/>
      <c r="F216" s="15"/>
      <c r="G216" s="11"/>
      <c r="H216" s="11" t="str">
        <f aca="false">IF($F216="","",$F216*$G216)</f>
        <v/>
      </c>
      <c r="I216" s="11"/>
      <c r="J216" s="11"/>
      <c r="K216" s="11" t="str">
        <f aca="false">IF(OR($J216="",$G216=""),"",$J216-$G216)</f>
        <v/>
      </c>
      <c r="L216" s="12" t="str">
        <f aca="false">IF(OR($J216="",$J216=0),"",($J216-$G216)/$J216)</f>
        <v/>
      </c>
      <c r="M216" s="14"/>
      <c r="N216" s="14"/>
      <c r="O216" s="16"/>
      <c r="P216" s="14"/>
      <c r="Q216" s="14"/>
    </row>
    <row r="217" customFormat="false" ht="15" hidden="false" customHeight="false" outlineLevel="0" collapsed="false">
      <c r="A217" s="14"/>
      <c r="B217" s="14"/>
      <c r="C217" s="14"/>
      <c r="D217" s="14"/>
      <c r="E217" s="14"/>
      <c r="F217" s="15"/>
      <c r="G217" s="11"/>
      <c r="H217" s="11" t="str">
        <f aca="false">IF($F217="","",$F217*$G217)</f>
        <v/>
      </c>
      <c r="I217" s="11"/>
      <c r="J217" s="11"/>
      <c r="K217" s="11" t="str">
        <f aca="false">IF(OR($J217="",$G217=""),"",$J217-$G217)</f>
        <v/>
      </c>
      <c r="L217" s="12" t="str">
        <f aca="false">IF(OR($J217="",$J217=0),"",($J217-$G217)/$J217)</f>
        <v/>
      </c>
      <c r="M217" s="14"/>
      <c r="N217" s="14"/>
      <c r="O217" s="16"/>
      <c r="P217" s="14"/>
      <c r="Q217" s="14"/>
    </row>
    <row r="218" customFormat="false" ht="15" hidden="false" customHeight="false" outlineLevel="0" collapsed="false">
      <c r="A218" s="14"/>
      <c r="B218" s="14"/>
      <c r="C218" s="14"/>
      <c r="D218" s="14"/>
      <c r="E218" s="14"/>
      <c r="F218" s="15"/>
      <c r="G218" s="11"/>
      <c r="H218" s="11" t="str">
        <f aca="false">IF($F218="","",$F218*$G218)</f>
        <v/>
      </c>
      <c r="I218" s="11"/>
      <c r="J218" s="11"/>
      <c r="K218" s="11" t="str">
        <f aca="false">IF(OR($J218="",$G218=""),"",$J218-$G218)</f>
        <v/>
      </c>
      <c r="L218" s="12" t="str">
        <f aca="false">IF(OR($J218="",$J218=0),"",($J218-$G218)/$J218)</f>
        <v/>
      </c>
      <c r="M218" s="14"/>
      <c r="N218" s="14"/>
      <c r="O218" s="16"/>
      <c r="P218" s="14"/>
      <c r="Q218" s="14"/>
    </row>
    <row r="219" customFormat="false" ht="15" hidden="false" customHeight="false" outlineLevel="0" collapsed="false">
      <c r="A219" s="14"/>
      <c r="B219" s="14"/>
      <c r="C219" s="14"/>
      <c r="D219" s="14"/>
      <c r="E219" s="14"/>
      <c r="F219" s="15"/>
      <c r="G219" s="11"/>
      <c r="H219" s="11" t="str">
        <f aca="false">IF($F219="","",$F219*$G219)</f>
        <v/>
      </c>
      <c r="I219" s="11"/>
      <c r="J219" s="11"/>
      <c r="K219" s="11" t="str">
        <f aca="false">IF(OR($J219="",$G219=""),"",$J219-$G219)</f>
        <v/>
      </c>
      <c r="L219" s="12" t="str">
        <f aca="false">IF(OR($J219="",$J219=0),"",($J219-$G219)/$J219)</f>
        <v/>
      </c>
      <c r="M219" s="14"/>
      <c r="N219" s="14"/>
      <c r="O219" s="16"/>
      <c r="P219" s="14"/>
      <c r="Q219" s="14"/>
    </row>
    <row r="220" customFormat="false" ht="15" hidden="false" customHeight="false" outlineLevel="0" collapsed="false">
      <c r="A220" s="14"/>
      <c r="B220" s="14"/>
      <c r="C220" s="14"/>
      <c r="D220" s="14"/>
      <c r="E220" s="14"/>
      <c r="F220" s="15"/>
      <c r="G220" s="11"/>
      <c r="H220" s="11" t="str">
        <f aca="false">IF($F220="","",$F220*$G220)</f>
        <v/>
      </c>
      <c r="I220" s="11"/>
      <c r="J220" s="11"/>
      <c r="K220" s="11" t="str">
        <f aca="false">IF(OR($J220="",$G220=""),"",$J220-$G220)</f>
        <v/>
      </c>
      <c r="L220" s="12" t="str">
        <f aca="false">IF(OR($J220="",$J220=0),"",($J220-$G220)/$J220)</f>
        <v/>
      </c>
      <c r="M220" s="14"/>
      <c r="N220" s="14"/>
      <c r="O220" s="16"/>
      <c r="P220" s="14"/>
      <c r="Q220" s="14"/>
    </row>
    <row r="221" customFormat="false" ht="15" hidden="false" customHeight="false" outlineLevel="0" collapsed="false">
      <c r="A221" s="14"/>
      <c r="B221" s="14"/>
      <c r="C221" s="14"/>
      <c r="D221" s="14"/>
      <c r="E221" s="14"/>
      <c r="F221" s="15"/>
      <c r="G221" s="11"/>
      <c r="H221" s="11" t="str">
        <f aca="false">IF($F221="","",$F221*$G221)</f>
        <v/>
      </c>
      <c r="I221" s="11"/>
      <c r="J221" s="11"/>
      <c r="K221" s="11" t="str">
        <f aca="false">IF(OR($J221="",$G221=""),"",$J221-$G221)</f>
        <v/>
      </c>
      <c r="L221" s="12" t="str">
        <f aca="false">IF(OR($J221="",$J221=0),"",($J221-$G221)/$J221)</f>
        <v/>
      </c>
      <c r="M221" s="14"/>
      <c r="N221" s="14"/>
      <c r="O221" s="16"/>
      <c r="P221" s="14"/>
      <c r="Q221" s="14"/>
    </row>
    <row r="222" customFormat="false" ht="15" hidden="false" customHeight="false" outlineLevel="0" collapsed="false">
      <c r="A222" s="14"/>
      <c r="B222" s="14"/>
      <c r="C222" s="14"/>
      <c r="D222" s="14"/>
      <c r="E222" s="14"/>
      <c r="F222" s="15"/>
      <c r="G222" s="11"/>
      <c r="H222" s="11" t="str">
        <f aca="false">IF($F222="","",$F222*$G222)</f>
        <v/>
      </c>
      <c r="I222" s="11"/>
      <c r="J222" s="11"/>
      <c r="K222" s="11" t="str">
        <f aca="false">IF(OR($J222="",$G222=""),"",$J222-$G222)</f>
        <v/>
      </c>
      <c r="L222" s="12" t="str">
        <f aca="false">IF(OR($J222="",$J222=0),"",($J222-$G222)/$J222)</f>
        <v/>
      </c>
      <c r="M222" s="14"/>
      <c r="N222" s="14"/>
      <c r="O222" s="16"/>
      <c r="P222" s="14"/>
      <c r="Q222" s="14"/>
    </row>
    <row r="223" customFormat="false" ht="15" hidden="false" customHeight="false" outlineLevel="0" collapsed="false">
      <c r="A223" s="14"/>
      <c r="B223" s="14"/>
      <c r="C223" s="14"/>
      <c r="D223" s="14"/>
      <c r="E223" s="14"/>
      <c r="F223" s="15"/>
      <c r="G223" s="11"/>
      <c r="H223" s="11" t="str">
        <f aca="false">IF($F223="","",$F223*$G223)</f>
        <v/>
      </c>
      <c r="I223" s="11"/>
      <c r="J223" s="11"/>
      <c r="K223" s="11" t="str">
        <f aca="false">IF(OR($J223="",$G223=""),"",$J223-$G223)</f>
        <v/>
      </c>
      <c r="L223" s="12" t="str">
        <f aca="false">IF(OR($J223="",$J223=0),"",($J223-$G223)/$J223)</f>
        <v/>
      </c>
      <c r="M223" s="14"/>
      <c r="N223" s="14"/>
      <c r="O223" s="16"/>
      <c r="P223" s="14"/>
      <c r="Q223" s="14"/>
    </row>
    <row r="224" customFormat="false" ht="15" hidden="false" customHeight="false" outlineLevel="0" collapsed="false">
      <c r="A224" s="14"/>
      <c r="B224" s="14"/>
      <c r="C224" s="14"/>
      <c r="D224" s="14"/>
      <c r="E224" s="14"/>
      <c r="F224" s="15"/>
      <c r="G224" s="11"/>
      <c r="H224" s="11" t="str">
        <f aca="false">IF($F224="","",$F224*$G224)</f>
        <v/>
      </c>
      <c r="I224" s="11"/>
      <c r="J224" s="11"/>
      <c r="K224" s="11" t="str">
        <f aca="false">IF(OR($J224="",$G224=""),"",$J224-$G224)</f>
        <v/>
      </c>
      <c r="L224" s="12" t="str">
        <f aca="false">IF(OR($J224="",$J224=0),"",($J224-$G224)/$J224)</f>
        <v/>
      </c>
      <c r="M224" s="14"/>
      <c r="N224" s="14"/>
      <c r="O224" s="16"/>
      <c r="P224" s="14"/>
      <c r="Q224" s="14"/>
    </row>
    <row r="225" customFormat="false" ht="15" hidden="false" customHeight="false" outlineLevel="0" collapsed="false">
      <c r="A225" s="14"/>
      <c r="B225" s="14"/>
      <c r="C225" s="14"/>
      <c r="D225" s="14"/>
      <c r="E225" s="14"/>
      <c r="F225" s="15"/>
      <c r="G225" s="11"/>
      <c r="H225" s="11" t="str">
        <f aca="false">IF($F225="","",$F225*$G225)</f>
        <v/>
      </c>
      <c r="I225" s="11"/>
      <c r="J225" s="11"/>
      <c r="K225" s="11" t="str">
        <f aca="false">IF(OR($J225="",$G225=""),"",$J225-$G225)</f>
        <v/>
      </c>
      <c r="L225" s="12" t="str">
        <f aca="false">IF(OR($J225="",$J225=0),"",($J225-$G225)/$J225)</f>
        <v/>
      </c>
      <c r="M225" s="14"/>
      <c r="N225" s="14"/>
      <c r="O225" s="16"/>
      <c r="P225" s="14"/>
      <c r="Q225" s="14"/>
    </row>
    <row r="226" customFormat="false" ht="15" hidden="false" customHeight="false" outlineLevel="0" collapsed="false">
      <c r="A226" s="14"/>
      <c r="B226" s="14"/>
      <c r="C226" s="14"/>
      <c r="D226" s="14"/>
      <c r="E226" s="14"/>
      <c r="F226" s="15"/>
      <c r="G226" s="11"/>
      <c r="H226" s="11" t="str">
        <f aca="false">IF($F226="","",$F226*$G226)</f>
        <v/>
      </c>
      <c r="I226" s="11"/>
      <c r="J226" s="11"/>
      <c r="K226" s="11" t="str">
        <f aca="false">IF(OR($J226="",$G226=""),"",$J226-$G226)</f>
        <v/>
      </c>
      <c r="L226" s="12" t="str">
        <f aca="false">IF(OR($J226="",$J226=0),"",($J226-$G226)/$J226)</f>
        <v/>
      </c>
      <c r="M226" s="14"/>
      <c r="N226" s="14"/>
      <c r="O226" s="16"/>
      <c r="P226" s="14"/>
      <c r="Q226" s="14"/>
    </row>
    <row r="227" customFormat="false" ht="15" hidden="false" customHeight="false" outlineLevel="0" collapsed="false">
      <c r="A227" s="14"/>
      <c r="B227" s="14"/>
      <c r="C227" s="14"/>
      <c r="D227" s="14"/>
      <c r="E227" s="14"/>
      <c r="F227" s="15"/>
      <c r="G227" s="11"/>
      <c r="H227" s="11" t="str">
        <f aca="false">IF($F227="","",$F227*$G227)</f>
        <v/>
      </c>
      <c r="I227" s="11"/>
      <c r="J227" s="11"/>
      <c r="K227" s="11" t="str">
        <f aca="false">IF(OR($J227="",$G227=""),"",$J227-$G227)</f>
        <v/>
      </c>
      <c r="L227" s="12" t="str">
        <f aca="false">IF(OR($J227="",$J227=0),"",($J227-$G227)/$J227)</f>
        <v/>
      </c>
      <c r="M227" s="14"/>
      <c r="N227" s="14"/>
      <c r="O227" s="16"/>
      <c r="P227" s="14"/>
      <c r="Q227" s="14"/>
    </row>
    <row r="228" customFormat="false" ht="15" hidden="false" customHeight="false" outlineLevel="0" collapsed="false">
      <c r="A228" s="14"/>
      <c r="B228" s="14"/>
      <c r="C228" s="14"/>
      <c r="D228" s="14"/>
      <c r="E228" s="14"/>
      <c r="F228" s="15"/>
      <c r="G228" s="11"/>
      <c r="H228" s="11" t="str">
        <f aca="false">IF($F228="","",$F228*$G228)</f>
        <v/>
      </c>
      <c r="I228" s="11"/>
      <c r="J228" s="11"/>
      <c r="K228" s="11" t="str">
        <f aca="false">IF(OR($J228="",$G228=""),"",$J228-$G228)</f>
        <v/>
      </c>
      <c r="L228" s="12" t="str">
        <f aca="false">IF(OR($J228="",$J228=0),"",($J228-$G228)/$J228)</f>
        <v/>
      </c>
      <c r="M228" s="14"/>
      <c r="N228" s="14"/>
      <c r="O228" s="16"/>
      <c r="P228" s="14"/>
      <c r="Q228" s="14"/>
    </row>
    <row r="229" customFormat="false" ht="15" hidden="false" customHeight="false" outlineLevel="0" collapsed="false">
      <c r="A229" s="14"/>
      <c r="B229" s="14"/>
      <c r="C229" s="14"/>
      <c r="D229" s="14"/>
      <c r="E229" s="14"/>
      <c r="F229" s="15"/>
      <c r="G229" s="11"/>
      <c r="H229" s="11" t="str">
        <f aca="false">IF($F229="","",$F229*$G229)</f>
        <v/>
      </c>
      <c r="I229" s="11"/>
      <c r="J229" s="11"/>
      <c r="K229" s="11" t="str">
        <f aca="false">IF(OR($J229="",$G229=""),"",$J229-$G229)</f>
        <v/>
      </c>
      <c r="L229" s="12" t="str">
        <f aca="false">IF(OR($J229="",$J229=0),"",($J229-$G229)/$J229)</f>
        <v/>
      </c>
      <c r="M229" s="14"/>
      <c r="N229" s="14"/>
      <c r="O229" s="16"/>
      <c r="P229" s="14"/>
      <c r="Q229" s="14"/>
    </row>
    <row r="230" customFormat="false" ht="15" hidden="false" customHeight="false" outlineLevel="0" collapsed="false">
      <c r="A230" s="14"/>
      <c r="B230" s="14"/>
      <c r="C230" s="14"/>
      <c r="D230" s="14"/>
      <c r="E230" s="14"/>
      <c r="F230" s="15"/>
      <c r="G230" s="11"/>
      <c r="H230" s="11" t="str">
        <f aca="false">IF($F230="","",$F230*$G230)</f>
        <v/>
      </c>
      <c r="I230" s="11"/>
      <c r="J230" s="11"/>
      <c r="K230" s="11" t="str">
        <f aca="false">IF(OR($J230="",$G230=""),"",$J230-$G230)</f>
        <v/>
      </c>
      <c r="L230" s="12" t="str">
        <f aca="false">IF(OR($J230="",$J230=0),"",($J230-$G230)/$J230)</f>
        <v/>
      </c>
      <c r="M230" s="14"/>
      <c r="N230" s="14"/>
      <c r="O230" s="16"/>
      <c r="P230" s="14"/>
      <c r="Q230" s="14"/>
    </row>
    <row r="231" customFormat="false" ht="15" hidden="false" customHeight="false" outlineLevel="0" collapsed="false">
      <c r="A231" s="14"/>
      <c r="B231" s="14"/>
      <c r="C231" s="14"/>
      <c r="D231" s="14"/>
      <c r="E231" s="14"/>
      <c r="F231" s="15"/>
      <c r="G231" s="11"/>
      <c r="H231" s="11" t="str">
        <f aca="false">IF($F231="","",$F231*$G231)</f>
        <v/>
      </c>
      <c r="I231" s="11"/>
      <c r="J231" s="11"/>
      <c r="K231" s="11" t="str">
        <f aca="false">IF(OR($J231="",$G231=""),"",$J231-$G231)</f>
        <v/>
      </c>
      <c r="L231" s="12" t="str">
        <f aca="false">IF(OR($J231="",$J231=0),"",($J231-$G231)/$J231)</f>
        <v/>
      </c>
      <c r="M231" s="14"/>
      <c r="N231" s="14"/>
      <c r="O231" s="16"/>
      <c r="P231" s="14"/>
      <c r="Q231" s="14"/>
    </row>
    <row r="232" customFormat="false" ht="15" hidden="false" customHeight="false" outlineLevel="0" collapsed="false">
      <c r="A232" s="14"/>
      <c r="B232" s="14"/>
      <c r="C232" s="14"/>
      <c r="D232" s="14"/>
      <c r="E232" s="14"/>
      <c r="F232" s="15"/>
      <c r="G232" s="11"/>
      <c r="H232" s="11" t="str">
        <f aca="false">IF($F232="","",$F232*$G232)</f>
        <v/>
      </c>
      <c r="I232" s="11"/>
      <c r="J232" s="11"/>
      <c r="K232" s="11" t="str">
        <f aca="false">IF(OR($J232="",$G232=""),"",$J232-$G232)</f>
        <v/>
      </c>
      <c r="L232" s="12" t="str">
        <f aca="false">IF(OR($J232="",$J232=0),"",($J232-$G232)/$J232)</f>
        <v/>
      </c>
      <c r="M232" s="14"/>
      <c r="N232" s="14"/>
      <c r="O232" s="16"/>
      <c r="P232" s="14"/>
      <c r="Q232" s="14"/>
    </row>
    <row r="233" customFormat="false" ht="15" hidden="false" customHeight="false" outlineLevel="0" collapsed="false">
      <c r="A233" s="14"/>
      <c r="B233" s="14"/>
      <c r="C233" s="14"/>
      <c r="D233" s="14"/>
      <c r="E233" s="14"/>
      <c r="F233" s="15"/>
      <c r="G233" s="11"/>
      <c r="H233" s="11" t="str">
        <f aca="false">IF($F233="","",$F233*$G233)</f>
        <v/>
      </c>
      <c r="I233" s="11"/>
      <c r="J233" s="11"/>
      <c r="K233" s="11" t="str">
        <f aca="false">IF(OR($J233="",$G233=""),"",$J233-$G233)</f>
        <v/>
      </c>
      <c r="L233" s="12" t="str">
        <f aca="false">IF(OR($J233="",$J233=0),"",($J233-$G233)/$J233)</f>
        <v/>
      </c>
      <c r="M233" s="14"/>
      <c r="N233" s="14"/>
      <c r="O233" s="16"/>
      <c r="P233" s="14"/>
      <c r="Q233" s="14"/>
    </row>
    <row r="234" customFormat="false" ht="15" hidden="false" customHeight="false" outlineLevel="0" collapsed="false">
      <c r="A234" s="14"/>
      <c r="B234" s="14"/>
      <c r="C234" s="14"/>
      <c r="D234" s="14"/>
      <c r="E234" s="14"/>
      <c r="F234" s="15"/>
      <c r="G234" s="11"/>
      <c r="H234" s="11" t="str">
        <f aca="false">IF($F234="","",$F234*$G234)</f>
        <v/>
      </c>
      <c r="I234" s="11"/>
      <c r="J234" s="11"/>
      <c r="K234" s="11" t="str">
        <f aca="false">IF(OR($J234="",$G234=""),"",$J234-$G234)</f>
        <v/>
      </c>
      <c r="L234" s="12" t="str">
        <f aca="false">IF(OR($J234="",$J234=0),"",($J234-$G234)/$J234)</f>
        <v/>
      </c>
      <c r="M234" s="14"/>
      <c r="N234" s="14"/>
      <c r="O234" s="16"/>
      <c r="P234" s="14"/>
      <c r="Q234" s="14"/>
    </row>
    <row r="235" customFormat="false" ht="15" hidden="false" customHeight="false" outlineLevel="0" collapsed="false">
      <c r="A235" s="14"/>
      <c r="B235" s="14"/>
      <c r="C235" s="14"/>
      <c r="D235" s="14"/>
      <c r="E235" s="14"/>
      <c r="F235" s="15"/>
      <c r="G235" s="11"/>
      <c r="H235" s="11" t="str">
        <f aca="false">IF($F235="","",$F235*$G235)</f>
        <v/>
      </c>
      <c r="I235" s="11"/>
      <c r="J235" s="11"/>
      <c r="K235" s="11" t="str">
        <f aca="false">IF(OR($J235="",$G235=""),"",$J235-$G235)</f>
        <v/>
      </c>
      <c r="L235" s="12" t="str">
        <f aca="false">IF(OR($J235="",$J235=0),"",($J235-$G235)/$J235)</f>
        <v/>
      </c>
      <c r="M235" s="14"/>
      <c r="N235" s="14"/>
      <c r="O235" s="16"/>
      <c r="P235" s="14"/>
      <c r="Q235" s="14"/>
    </row>
    <row r="236" customFormat="false" ht="15" hidden="false" customHeight="false" outlineLevel="0" collapsed="false">
      <c r="A236" s="14"/>
      <c r="B236" s="14"/>
      <c r="C236" s="14"/>
      <c r="D236" s="14"/>
      <c r="E236" s="14"/>
      <c r="F236" s="15"/>
      <c r="G236" s="11"/>
      <c r="H236" s="11" t="str">
        <f aca="false">IF($F236="","",$F236*$G236)</f>
        <v/>
      </c>
      <c r="I236" s="11"/>
      <c r="J236" s="11"/>
      <c r="K236" s="11" t="str">
        <f aca="false">IF(OR($J236="",$G236=""),"",$J236-$G236)</f>
        <v/>
      </c>
      <c r="L236" s="12" t="str">
        <f aca="false">IF(OR($J236="",$J236=0),"",($J236-$G236)/$J236)</f>
        <v/>
      </c>
      <c r="M236" s="14"/>
      <c r="N236" s="14"/>
      <c r="O236" s="16"/>
      <c r="P236" s="14"/>
      <c r="Q236" s="14"/>
    </row>
    <row r="237" customFormat="false" ht="15" hidden="false" customHeight="false" outlineLevel="0" collapsed="false">
      <c r="A237" s="14"/>
      <c r="B237" s="14"/>
      <c r="C237" s="14"/>
      <c r="D237" s="14"/>
      <c r="E237" s="14"/>
      <c r="F237" s="15"/>
      <c r="G237" s="11"/>
      <c r="H237" s="11" t="str">
        <f aca="false">IF($F237="","",$F237*$G237)</f>
        <v/>
      </c>
      <c r="I237" s="11"/>
      <c r="J237" s="11"/>
      <c r="K237" s="11" t="str">
        <f aca="false">IF(OR($J237="",$G237=""),"",$J237-$G237)</f>
        <v/>
      </c>
      <c r="L237" s="12" t="str">
        <f aca="false">IF(OR($J237="",$J237=0),"",($J237-$G237)/$J237)</f>
        <v/>
      </c>
      <c r="M237" s="14"/>
      <c r="N237" s="14"/>
      <c r="O237" s="16"/>
      <c r="P237" s="14"/>
      <c r="Q237" s="14"/>
    </row>
    <row r="238" customFormat="false" ht="15" hidden="false" customHeight="false" outlineLevel="0" collapsed="false">
      <c r="A238" s="14"/>
      <c r="B238" s="14"/>
      <c r="C238" s="14"/>
      <c r="D238" s="14"/>
      <c r="E238" s="14"/>
      <c r="F238" s="15"/>
      <c r="G238" s="11"/>
      <c r="H238" s="11" t="str">
        <f aca="false">IF($F238="","",$F238*$G238)</f>
        <v/>
      </c>
      <c r="I238" s="11"/>
      <c r="J238" s="11"/>
      <c r="K238" s="11" t="str">
        <f aca="false">IF(OR($J238="",$G238=""),"",$J238-$G238)</f>
        <v/>
      </c>
      <c r="L238" s="12" t="str">
        <f aca="false">IF(OR($J238="",$J238=0),"",($J238-$G238)/$J238)</f>
        <v/>
      </c>
      <c r="M238" s="14"/>
      <c r="N238" s="14"/>
      <c r="O238" s="16"/>
      <c r="P238" s="14"/>
      <c r="Q238" s="14"/>
    </row>
    <row r="239" customFormat="false" ht="15" hidden="false" customHeight="false" outlineLevel="0" collapsed="false">
      <c r="A239" s="14"/>
      <c r="B239" s="14"/>
      <c r="C239" s="14"/>
      <c r="D239" s="14"/>
      <c r="E239" s="14"/>
      <c r="F239" s="15"/>
      <c r="G239" s="11"/>
      <c r="H239" s="11" t="str">
        <f aca="false">IF($F239="","",$F239*$G239)</f>
        <v/>
      </c>
      <c r="I239" s="11"/>
      <c r="J239" s="11"/>
      <c r="K239" s="11" t="str">
        <f aca="false">IF(OR($J239="",$G239=""),"",$J239-$G239)</f>
        <v/>
      </c>
      <c r="L239" s="12" t="str">
        <f aca="false">IF(OR($J239="",$J239=0),"",($J239-$G239)/$J239)</f>
        <v/>
      </c>
      <c r="M239" s="14"/>
      <c r="N239" s="14"/>
      <c r="O239" s="16"/>
      <c r="P239" s="14"/>
      <c r="Q239" s="14"/>
    </row>
    <row r="240" customFormat="false" ht="15" hidden="false" customHeight="false" outlineLevel="0" collapsed="false">
      <c r="A240" s="14"/>
      <c r="B240" s="14"/>
      <c r="C240" s="14"/>
      <c r="D240" s="14"/>
      <c r="E240" s="14"/>
      <c r="F240" s="15"/>
      <c r="G240" s="11"/>
      <c r="H240" s="11" t="str">
        <f aca="false">IF($F240="","",$F240*$G240)</f>
        <v/>
      </c>
      <c r="I240" s="11"/>
      <c r="J240" s="11"/>
      <c r="K240" s="11" t="str">
        <f aca="false">IF(OR($J240="",$G240=""),"",$J240-$G240)</f>
        <v/>
      </c>
      <c r="L240" s="12" t="str">
        <f aca="false">IF(OR($J240="",$J240=0),"",($J240-$G240)/$J240)</f>
        <v/>
      </c>
      <c r="M240" s="14"/>
      <c r="N240" s="14"/>
      <c r="O240" s="16"/>
      <c r="P240" s="14"/>
      <c r="Q240" s="14"/>
    </row>
    <row r="241" customFormat="false" ht="15" hidden="false" customHeight="false" outlineLevel="0" collapsed="false">
      <c r="A241" s="14"/>
      <c r="B241" s="14"/>
      <c r="C241" s="14"/>
      <c r="D241" s="14"/>
      <c r="E241" s="14"/>
      <c r="F241" s="15"/>
      <c r="G241" s="11"/>
      <c r="H241" s="11" t="str">
        <f aca="false">IF($F241="","",$F241*$G241)</f>
        <v/>
      </c>
      <c r="I241" s="11"/>
      <c r="J241" s="11"/>
      <c r="K241" s="11" t="str">
        <f aca="false">IF(OR($J241="",$G241=""),"",$J241-$G241)</f>
        <v/>
      </c>
      <c r="L241" s="12" t="str">
        <f aca="false">IF(OR($J241="",$J241=0),"",($J241-$G241)/$J241)</f>
        <v/>
      </c>
      <c r="M241" s="14"/>
      <c r="N241" s="14"/>
      <c r="O241" s="16"/>
      <c r="P241" s="14"/>
      <c r="Q241" s="14"/>
    </row>
    <row r="242" customFormat="false" ht="15" hidden="false" customHeight="false" outlineLevel="0" collapsed="false">
      <c r="A242" s="14"/>
      <c r="B242" s="14"/>
      <c r="C242" s="14"/>
      <c r="D242" s="14"/>
      <c r="E242" s="14"/>
      <c r="F242" s="15"/>
      <c r="G242" s="11"/>
      <c r="H242" s="11" t="str">
        <f aca="false">IF($F242="","",$F242*$G242)</f>
        <v/>
      </c>
      <c r="I242" s="11"/>
      <c r="J242" s="11"/>
      <c r="K242" s="11" t="str">
        <f aca="false">IF(OR($J242="",$G242=""),"",$J242-$G242)</f>
        <v/>
      </c>
      <c r="L242" s="12" t="str">
        <f aca="false">IF(OR($J242="",$J242=0),"",($J242-$G242)/$J242)</f>
        <v/>
      </c>
      <c r="M242" s="14"/>
      <c r="N242" s="14"/>
      <c r="O242" s="16"/>
      <c r="P242" s="14"/>
      <c r="Q242" s="14"/>
    </row>
    <row r="243" customFormat="false" ht="15" hidden="false" customHeight="false" outlineLevel="0" collapsed="false">
      <c r="A243" s="14"/>
      <c r="B243" s="14"/>
      <c r="C243" s="14"/>
      <c r="D243" s="14"/>
      <c r="E243" s="14"/>
      <c r="F243" s="15"/>
      <c r="G243" s="11"/>
      <c r="H243" s="11" t="str">
        <f aca="false">IF($F243="","",$F243*$G243)</f>
        <v/>
      </c>
      <c r="I243" s="11"/>
      <c r="J243" s="11"/>
      <c r="K243" s="11" t="str">
        <f aca="false">IF(OR($J243="",$G243=""),"",$J243-$G243)</f>
        <v/>
      </c>
      <c r="L243" s="12" t="str">
        <f aca="false">IF(OR($J243="",$J243=0),"",($J243-$G243)/$J243)</f>
        <v/>
      </c>
      <c r="M243" s="14"/>
      <c r="N243" s="14"/>
      <c r="O243" s="16"/>
      <c r="P243" s="14"/>
      <c r="Q243" s="14"/>
    </row>
    <row r="244" customFormat="false" ht="15" hidden="false" customHeight="false" outlineLevel="0" collapsed="false">
      <c r="A244" s="14"/>
      <c r="B244" s="14"/>
      <c r="C244" s="14"/>
      <c r="D244" s="14"/>
      <c r="E244" s="14"/>
      <c r="F244" s="15"/>
      <c r="G244" s="11"/>
      <c r="H244" s="11" t="str">
        <f aca="false">IF($F244="","",$F244*$G244)</f>
        <v/>
      </c>
      <c r="I244" s="11"/>
      <c r="J244" s="11"/>
      <c r="K244" s="11" t="str">
        <f aca="false">IF(OR($J244="",$G244=""),"",$J244-$G244)</f>
        <v/>
      </c>
      <c r="L244" s="12" t="str">
        <f aca="false">IF(OR($J244="",$J244=0),"",($J244-$G244)/$J244)</f>
        <v/>
      </c>
      <c r="M244" s="14"/>
      <c r="N244" s="14"/>
      <c r="O244" s="16"/>
      <c r="P244" s="14"/>
      <c r="Q244" s="14"/>
    </row>
    <row r="245" customFormat="false" ht="15" hidden="false" customHeight="false" outlineLevel="0" collapsed="false">
      <c r="A245" s="14"/>
      <c r="B245" s="14"/>
      <c r="C245" s="14"/>
      <c r="D245" s="14"/>
      <c r="E245" s="14"/>
      <c r="F245" s="15"/>
      <c r="G245" s="11"/>
      <c r="H245" s="11" t="str">
        <f aca="false">IF($F245="","",$F245*$G245)</f>
        <v/>
      </c>
      <c r="I245" s="11"/>
      <c r="J245" s="11"/>
      <c r="K245" s="11" t="str">
        <f aca="false">IF(OR($J245="",$G245=""),"",$J245-$G245)</f>
        <v/>
      </c>
      <c r="L245" s="12" t="str">
        <f aca="false">IF(OR($J245="",$J245=0),"",($J245-$G245)/$J245)</f>
        <v/>
      </c>
      <c r="M245" s="14"/>
      <c r="N245" s="14"/>
      <c r="O245" s="16"/>
      <c r="P245" s="14"/>
      <c r="Q245" s="14"/>
    </row>
    <row r="246" customFormat="false" ht="15" hidden="false" customHeight="false" outlineLevel="0" collapsed="false">
      <c r="A246" s="14"/>
      <c r="B246" s="14"/>
      <c r="C246" s="14"/>
      <c r="D246" s="14"/>
      <c r="E246" s="14"/>
      <c r="F246" s="15"/>
      <c r="G246" s="11"/>
      <c r="H246" s="11" t="str">
        <f aca="false">IF($F246="","",$F246*$G246)</f>
        <v/>
      </c>
      <c r="I246" s="11"/>
      <c r="J246" s="11"/>
      <c r="K246" s="11" t="str">
        <f aca="false">IF(OR($J246="",$G246=""),"",$J246-$G246)</f>
        <v/>
      </c>
      <c r="L246" s="12" t="str">
        <f aca="false">IF(OR($J246="",$J246=0),"",($J246-$G246)/$J246)</f>
        <v/>
      </c>
      <c r="M246" s="14"/>
      <c r="N246" s="14"/>
      <c r="O246" s="16"/>
      <c r="P246" s="14"/>
      <c r="Q246" s="14"/>
    </row>
    <row r="247" customFormat="false" ht="15" hidden="false" customHeight="false" outlineLevel="0" collapsed="false">
      <c r="A247" s="14"/>
      <c r="B247" s="14"/>
      <c r="C247" s="14"/>
      <c r="D247" s="14"/>
      <c r="E247" s="14"/>
      <c r="F247" s="15"/>
      <c r="G247" s="11"/>
      <c r="H247" s="11" t="str">
        <f aca="false">IF($F247="","",$F247*$G247)</f>
        <v/>
      </c>
      <c r="I247" s="11"/>
      <c r="J247" s="11"/>
      <c r="K247" s="11" t="str">
        <f aca="false">IF(OR($J247="",$G247=""),"",$J247-$G247)</f>
        <v/>
      </c>
      <c r="L247" s="12" t="str">
        <f aca="false">IF(OR($J247="",$J247=0),"",($J247-$G247)/$J247)</f>
        <v/>
      </c>
      <c r="M247" s="14"/>
      <c r="N247" s="14"/>
      <c r="O247" s="16"/>
      <c r="P247" s="14"/>
      <c r="Q247" s="14"/>
    </row>
    <row r="248" customFormat="false" ht="15" hidden="false" customHeight="false" outlineLevel="0" collapsed="false">
      <c r="A248" s="14"/>
      <c r="B248" s="14"/>
      <c r="C248" s="14"/>
      <c r="D248" s="14"/>
      <c r="E248" s="14"/>
      <c r="F248" s="15"/>
      <c r="G248" s="11"/>
      <c r="H248" s="11" t="str">
        <f aca="false">IF($F248="","",$F248*$G248)</f>
        <v/>
      </c>
      <c r="I248" s="11"/>
      <c r="J248" s="11"/>
      <c r="K248" s="11" t="str">
        <f aca="false">IF(OR($J248="",$G248=""),"",$J248-$G248)</f>
        <v/>
      </c>
      <c r="L248" s="12" t="str">
        <f aca="false">IF(OR($J248="",$J248=0),"",($J248-$G248)/$J248)</f>
        <v/>
      </c>
      <c r="M248" s="14"/>
      <c r="N248" s="14"/>
      <c r="O248" s="16"/>
      <c r="P248" s="14"/>
      <c r="Q248" s="14"/>
    </row>
    <row r="249" customFormat="false" ht="15" hidden="false" customHeight="false" outlineLevel="0" collapsed="false">
      <c r="A249" s="14"/>
      <c r="B249" s="14"/>
      <c r="C249" s="14"/>
      <c r="D249" s="14"/>
      <c r="E249" s="14"/>
      <c r="F249" s="15"/>
      <c r="G249" s="11"/>
      <c r="H249" s="11" t="str">
        <f aca="false">IF($F249="","",$F249*$G249)</f>
        <v/>
      </c>
      <c r="I249" s="11"/>
      <c r="J249" s="11"/>
      <c r="K249" s="11" t="str">
        <f aca="false">IF(OR($J249="",$G249=""),"",$J249-$G249)</f>
        <v/>
      </c>
      <c r="L249" s="12" t="str">
        <f aca="false">IF(OR($J249="",$J249=0),"",($J249-$G249)/$J249)</f>
        <v/>
      </c>
      <c r="M249" s="14"/>
      <c r="N249" s="14"/>
      <c r="O249" s="16"/>
      <c r="P249" s="14"/>
      <c r="Q249" s="14"/>
    </row>
    <row r="250" customFormat="false" ht="15" hidden="false" customHeight="false" outlineLevel="0" collapsed="false">
      <c r="A250" s="14"/>
      <c r="B250" s="14"/>
      <c r="C250" s="14"/>
      <c r="D250" s="14"/>
      <c r="E250" s="14"/>
      <c r="F250" s="15"/>
      <c r="G250" s="11"/>
      <c r="H250" s="11" t="str">
        <f aca="false">IF($F250="","",$F250*$G250)</f>
        <v/>
      </c>
      <c r="I250" s="11"/>
      <c r="J250" s="11"/>
      <c r="K250" s="11" t="str">
        <f aca="false">IF(OR($J250="",$G250=""),"",$J250-$G250)</f>
        <v/>
      </c>
      <c r="L250" s="12" t="str">
        <f aca="false">IF(OR($J250="",$J250=0),"",($J250-$G250)/$J250)</f>
        <v/>
      </c>
      <c r="M250" s="14"/>
      <c r="N250" s="14"/>
      <c r="O250" s="16"/>
      <c r="P250" s="14"/>
      <c r="Q250" s="14"/>
    </row>
    <row r="251" customFormat="false" ht="15" hidden="false" customHeight="false" outlineLevel="0" collapsed="false">
      <c r="A251" s="14"/>
      <c r="B251" s="14"/>
      <c r="C251" s="14"/>
      <c r="D251" s="14"/>
      <c r="E251" s="14"/>
      <c r="F251" s="15"/>
      <c r="G251" s="11"/>
      <c r="H251" s="11" t="str">
        <f aca="false">IF($F251="","",$F251*$G251)</f>
        <v/>
      </c>
      <c r="I251" s="11"/>
      <c r="J251" s="11"/>
      <c r="K251" s="11" t="str">
        <f aca="false">IF(OR($J251="",$G251=""),"",$J251-$G251)</f>
        <v/>
      </c>
      <c r="L251" s="12" t="str">
        <f aca="false">IF(OR($J251="",$J251=0),"",($J251-$G251)/$J251)</f>
        <v/>
      </c>
      <c r="M251" s="14"/>
      <c r="N251" s="14"/>
      <c r="O251" s="16"/>
      <c r="P251" s="14"/>
      <c r="Q251" s="14"/>
    </row>
    <row r="252" customFormat="false" ht="15" hidden="false" customHeight="false" outlineLevel="0" collapsed="false">
      <c r="A252" s="14"/>
      <c r="B252" s="14"/>
      <c r="C252" s="14"/>
      <c r="D252" s="14"/>
      <c r="E252" s="14"/>
      <c r="F252" s="15"/>
      <c r="G252" s="11"/>
      <c r="H252" s="11" t="str">
        <f aca="false">IF($F252="","",$F252*$G252)</f>
        <v/>
      </c>
      <c r="I252" s="11"/>
      <c r="J252" s="11"/>
      <c r="K252" s="11" t="str">
        <f aca="false">IF(OR($J252="",$G252=""),"",$J252-$G252)</f>
        <v/>
      </c>
      <c r="L252" s="12" t="str">
        <f aca="false">IF(OR($J252="",$J252=0),"",($J252-$G252)/$J252)</f>
        <v/>
      </c>
      <c r="M252" s="14"/>
      <c r="N252" s="14"/>
      <c r="O252" s="16"/>
      <c r="P252" s="14"/>
      <c r="Q252" s="14"/>
    </row>
    <row r="253" customFormat="false" ht="15" hidden="false" customHeight="false" outlineLevel="0" collapsed="false">
      <c r="A253" s="14"/>
      <c r="B253" s="14"/>
      <c r="C253" s="14"/>
      <c r="D253" s="14"/>
      <c r="E253" s="14"/>
      <c r="F253" s="15"/>
      <c r="G253" s="11"/>
      <c r="H253" s="11" t="str">
        <f aca="false">IF($F253="","",$F253*$G253)</f>
        <v/>
      </c>
      <c r="I253" s="11"/>
      <c r="J253" s="11"/>
      <c r="K253" s="11" t="str">
        <f aca="false">IF(OR($J253="",$G253=""),"",$J253-$G253)</f>
        <v/>
      </c>
      <c r="L253" s="12" t="str">
        <f aca="false">IF(OR($J253="",$J253=0),"",($J253-$G253)/$J253)</f>
        <v/>
      </c>
      <c r="M253" s="14"/>
      <c r="N253" s="14"/>
      <c r="O253" s="16"/>
      <c r="P253" s="14"/>
      <c r="Q253" s="14"/>
    </row>
  </sheetData>
  <autoFilter ref="A2:Q253"/>
  <mergeCells count="1">
    <mergeCell ref="A1:Q1"/>
  </mergeCells>
  <conditionalFormatting sqref="L3:L253">
    <cfRule type="cellIs" priority="2" operator="lessThan" aboveAverage="0" equalAverage="0" bottom="0" percent="0" rank="0" text="" dxfId="5">
      <formula>0.15</formula>
    </cfRule>
    <cfRule type="cellIs" priority="3" operator="greaterThanOrEqual" aboveAverage="0" equalAverage="0" bottom="0" percent="0" rank="0" text="" dxfId="6">
      <formula>0.35</formula>
    </cfRule>
  </conditionalFormatting>
  <dataValidations count="3">
    <dataValidation allowBlank="true" error="That value is not in the list on the Lists tab. You can keep it, or add it to Lists so the dropdown and the Dashboard stay in sync." errorStyle="warning" errorTitle="Not on the list" operator="between" prompt="Pick a category." promptTitle="Category" showDropDown="false" showErrorMessage="false" showInputMessage="false" sqref="C3:C253" type="list">
      <formula1>CategoryList</formula1>
      <formula2>0</formula2>
    </dataValidation>
    <dataValidation allowBlank="true" error="That value is not in the list on the Lists tab. You can keep it, or add it to Lists so the dropdown and the Dashboard stay in sync." errorStyle="warning" errorTitle="Not on the list" operator="between" prompt="Sealed, raw grade, or slab grade." promptTitle="Condition" showDropDown="false" showErrorMessage="false" showInputMessage="false" sqref="E3:E253" type="list">
      <formula1>ConditionList</formula1>
      <formula2>0</formula2>
    </dataValidation>
    <dataValidation allowBlank="true" error="That value is not in the list on the Lists tab. You can keep it, or add it to Lists so the dropdown and the Dashboard stay in sync." errorStyle="warning" errorTitle="Not on the list" operator="between" prompt="Where this item currently is." promptTitle="Status" showDropDown="false" showErrorMessage="false" showInputMessage="false" sqref="M3:M253" type="list">
      <formula1>StatusList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64F"/>
    <pageSetUpPr fitToPage="false"/>
  </sheetPr>
  <dimension ref="A1:Q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32"/>
    <col collapsed="false" customWidth="true" hidden="false" outlineLevel="0" max="4" min="4" style="0" width="9"/>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8" min="8" style="0" width="11"/>
    <col collapsed="false" customWidth="true" hidden="false" outlineLevel="0" max="10" min="9" style="0" width="10"/>
    <col collapsed="false" customWidth="true" hidden="false" outlineLevel="0" max="11" min="11" style="0" width="13"/>
    <col collapsed="false" customWidth="true" hidden="false" outlineLevel="0" max="12" min="12" style="0" width="11"/>
    <col collapsed="false" customWidth="true" hidden="false" outlineLevel="0" max="13" min="13" style="0" width="10"/>
    <col collapsed="false" customWidth="true" hidden="false" outlineLevel="0" max="14" min="14" style="0" width="14"/>
    <col collapsed="false" customWidth="true" hidden="false" outlineLevel="0" max="15" min="15" style="0" width="24"/>
    <col collapsed="false" customWidth="true" hidden="false" outlineLevel="0" max="16" min="16" style="0" width="15"/>
    <col collapsed="false" customWidth="true" hidden="false" outlineLevel="0" max="17" min="17" style="0" width="26"/>
  </cols>
  <sheetData>
    <row r="1" customFormat="false" ht="25.5" hidden="false" customHeight="true" outlineLevel="0" collapsed="false">
      <c r="A1" s="6" t="s">
        <v>77</v>
      </c>
      <c r="B1" s="6"/>
      <c r="C1" s="6"/>
      <c r="D1" s="6"/>
      <c r="E1" s="6"/>
      <c r="F1" s="6"/>
      <c r="G1" s="6"/>
      <c r="H1" s="6"/>
      <c r="I1" s="6"/>
      <c r="J1" s="6"/>
      <c r="K1" s="6"/>
      <c r="L1" s="6"/>
      <c r="M1" s="6"/>
      <c r="N1" s="6"/>
      <c r="O1" s="6"/>
      <c r="P1" s="6"/>
      <c r="Q1" s="6"/>
    </row>
    <row r="2" customFormat="false" ht="31.5" hidden="false" customHeight="true" outlineLevel="0" collapsed="false">
      <c r="A2" s="7" t="s">
        <v>78</v>
      </c>
      <c r="B2" s="7" t="s">
        <v>53</v>
      </c>
      <c r="C2" s="7" t="s">
        <v>79</v>
      </c>
      <c r="D2" s="7" t="s">
        <v>80</v>
      </c>
      <c r="E2" s="7" t="s">
        <v>81</v>
      </c>
      <c r="F2" s="7" t="s">
        <v>82</v>
      </c>
      <c r="G2" s="7" t="s">
        <v>83</v>
      </c>
      <c r="H2" s="7" t="s">
        <v>84</v>
      </c>
      <c r="I2" s="7" t="s">
        <v>85</v>
      </c>
      <c r="J2" s="7" t="s">
        <v>86</v>
      </c>
      <c r="K2" s="7" t="s">
        <v>36</v>
      </c>
      <c r="L2" s="7" t="s">
        <v>38</v>
      </c>
      <c r="M2" s="7" t="s">
        <v>40</v>
      </c>
      <c r="N2" s="7" t="s">
        <v>87</v>
      </c>
      <c r="O2" s="7" t="s">
        <v>88</v>
      </c>
      <c r="P2" s="7" t="s">
        <v>89</v>
      </c>
      <c r="Q2" s="7" t="s">
        <v>90</v>
      </c>
    </row>
    <row r="3" customFormat="false" ht="15" hidden="false" customHeight="false" outlineLevel="0" collapsed="false">
      <c r="A3" s="13" t="n">
        <v>46222</v>
      </c>
      <c r="B3" s="8" t="s">
        <v>68</v>
      </c>
      <c r="C3" s="14" t="str">
        <f aca="false">IFERROR(IF($B3="","",INDEX(Inventory!$B$3:$B$253,MATCH($B3,Inventory!$A$3:$A$253,0))),"")</f>
        <v>Prismatic Evolutions Elite Trainer Box</v>
      </c>
      <c r="D3" s="9" t="n">
        <v>1</v>
      </c>
      <c r="E3" s="10" t="n">
        <v>64</v>
      </c>
      <c r="F3" s="11" t="n">
        <f aca="false">IF($D3="","",$D3*$E3)</f>
        <v>64</v>
      </c>
      <c r="G3" s="11" t="n">
        <f aca="false">IFERROR(IF($B3="","",INDEX(Inventory!$G$3:$G$253,MATCH($B3,Inventory!$A$3:$A$253,0))),"")</f>
        <v>42</v>
      </c>
      <c r="H3" s="11" t="n">
        <f aca="false">IF($D3="","",$D3*IFERROR($G3+0,0))</f>
        <v>42</v>
      </c>
      <c r="I3" s="10" t="n">
        <v>0</v>
      </c>
      <c r="J3" s="10" t="n">
        <v>0</v>
      </c>
      <c r="K3" s="11" t="n">
        <f aca="false">IF($F3="","",$F3-$I3-$J3)</f>
        <v>64</v>
      </c>
      <c r="L3" s="11" t="n">
        <f aca="false">IF($K3="","",$K3-$H3)</f>
        <v>22</v>
      </c>
      <c r="M3" s="12" t="n">
        <f aca="false">IF(OR($F3="",$F3=0),"",$L3/$F3)</f>
        <v>0.34375</v>
      </c>
      <c r="N3" s="8" t="s">
        <v>91</v>
      </c>
      <c r="O3" s="8" t="s">
        <v>92</v>
      </c>
      <c r="P3" s="8" t="s">
        <v>93</v>
      </c>
      <c r="Q3" s="8" t="s">
        <v>76</v>
      </c>
    </row>
    <row r="4" customFormat="false" ht="15" hidden="false" customHeight="false" outlineLevel="0" collapsed="false">
      <c r="A4" s="16"/>
      <c r="B4" s="14"/>
      <c r="C4" s="14" t="str">
        <f aca="false">IFERROR(IF($B4="","",INDEX(Inventory!$B$3:$B$253,MATCH($B4,Inventory!$A$3:$A$253,0))),"")</f>
        <v/>
      </c>
      <c r="D4" s="15"/>
      <c r="E4" s="11"/>
      <c r="F4" s="11" t="str">
        <f aca="false">IF($D4="","",$D4*$E4)</f>
        <v/>
      </c>
      <c r="G4" s="11" t="str">
        <f aca="false">IFERROR(IF($B4="","",INDEX(Inventory!$G$3:$G$253,MATCH($B4,Inventory!$A$3:$A$253,0))),"")</f>
        <v/>
      </c>
      <c r="H4" s="11" t="str">
        <f aca="false">IF($D4="","",$D4*IFERROR($G4+0,0))</f>
        <v/>
      </c>
      <c r="I4" s="11"/>
      <c r="J4" s="11"/>
      <c r="K4" s="11" t="str">
        <f aca="false">IF($F4="","",$F4-$I4-$J4)</f>
        <v/>
      </c>
      <c r="L4" s="11" t="str">
        <f aca="false">IF($K4="","",$K4-$H4)</f>
        <v/>
      </c>
      <c r="M4" s="12" t="str">
        <f aca="false">IF(OR($F4="",$F4=0),"",$L4/$F4)</f>
        <v/>
      </c>
      <c r="N4" s="14"/>
      <c r="O4" s="14"/>
      <c r="P4" s="14"/>
      <c r="Q4" s="14"/>
    </row>
    <row r="5" customFormat="false" ht="15" hidden="false" customHeight="false" outlineLevel="0" collapsed="false">
      <c r="A5" s="16"/>
      <c r="B5" s="14"/>
      <c r="C5" s="14" t="str">
        <f aca="false">IFERROR(IF($B5="","",INDEX(Inventory!$B$3:$B$253,MATCH($B5,Inventory!$A$3:$A$253,0))),"")</f>
        <v/>
      </c>
      <c r="D5" s="15"/>
      <c r="E5" s="11"/>
      <c r="F5" s="11" t="str">
        <f aca="false">IF($D5="","",$D5*$E5)</f>
        <v/>
      </c>
      <c r="G5" s="11" t="str">
        <f aca="false">IFERROR(IF($B5="","",INDEX(Inventory!$G$3:$G$253,MATCH($B5,Inventory!$A$3:$A$253,0))),"")</f>
        <v/>
      </c>
      <c r="H5" s="11" t="str">
        <f aca="false">IF($D5="","",$D5*IFERROR($G5+0,0))</f>
        <v/>
      </c>
      <c r="I5" s="11"/>
      <c r="J5" s="11"/>
      <c r="K5" s="11" t="str">
        <f aca="false">IF($F5="","",$F5-$I5-$J5)</f>
        <v/>
      </c>
      <c r="L5" s="11" t="str">
        <f aca="false">IF($K5="","",$K5-$H5)</f>
        <v/>
      </c>
      <c r="M5" s="12" t="str">
        <f aca="false">IF(OR($F5="",$F5=0),"",$L5/$F5)</f>
        <v/>
      </c>
      <c r="N5" s="14"/>
      <c r="O5" s="14"/>
      <c r="P5" s="14"/>
      <c r="Q5" s="14"/>
    </row>
    <row r="6" customFormat="false" ht="15" hidden="false" customHeight="false" outlineLevel="0" collapsed="false">
      <c r="A6" s="16"/>
      <c r="B6" s="14"/>
      <c r="C6" s="14" t="str">
        <f aca="false">IFERROR(IF($B6="","",INDEX(Inventory!$B$3:$B$253,MATCH($B6,Inventory!$A$3:$A$253,0))),"")</f>
        <v/>
      </c>
      <c r="D6" s="15"/>
      <c r="E6" s="11"/>
      <c r="F6" s="11" t="str">
        <f aca="false">IF($D6="","",$D6*$E6)</f>
        <v/>
      </c>
      <c r="G6" s="11" t="str">
        <f aca="false">IFERROR(IF($B6="","",INDEX(Inventory!$G$3:$G$253,MATCH($B6,Inventory!$A$3:$A$253,0))),"")</f>
        <v/>
      </c>
      <c r="H6" s="11" t="str">
        <f aca="false">IF($D6="","",$D6*IFERROR($G6+0,0))</f>
        <v/>
      </c>
      <c r="I6" s="11"/>
      <c r="J6" s="11"/>
      <c r="K6" s="11" t="str">
        <f aca="false">IF($F6="","",$F6-$I6-$J6)</f>
        <v/>
      </c>
      <c r="L6" s="11" t="str">
        <f aca="false">IF($K6="","",$K6-$H6)</f>
        <v/>
      </c>
      <c r="M6" s="12" t="str">
        <f aca="false">IF(OR($F6="",$F6=0),"",$L6/$F6)</f>
        <v/>
      </c>
      <c r="N6" s="14"/>
      <c r="O6" s="14"/>
      <c r="P6" s="14"/>
      <c r="Q6" s="14"/>
    </row>
    <row r="7" customFormat="false" ht="15" hidden="false" customHeight="false" outlineLevel="0" collapsed="false">
      <c r="A7" s="16"/>
      <c r="B7" s="14"/>
      <c r="C7" s="14" t="str">
        <f aca="false">IFERROR(IF($B7="","",INDEX(Inventory!$B$3:$B$253,MATCH($B7,Inventory!$A$3:$A$253,0))),"")</f>
        <v/>
      </c>
      <c r="D7" s="15"/>
      <c r="E7" s="11"/>
      <c r="F7" s="11" t="str">
        <f aca="false">IF($D7="","",$D7*$E7)</f>
        <v/>
      </c>
      <c r="G7" s="11" t="str">
        <f aca="false">IFERROR(IF($B7="","",INDEX(Inventory!$G$3:$G$253,MATCH($B7,Inventory!$A$3:$A$253,0))),"")</f>
        <v/>
      </c>
      <c r="H7" s="11" t="str">
        <f aca="false">IF($D7="","",$D7*IFERROR($G7+0,0))</f>
        <v/>
      </c>
      <c r="I7" s="11"/>
      <c r="J7" s="11"/>
      <c r="K7" s="11" t="str">
        <f aca="false">IF($F7="","",$F7-$I7-$J7)</f>
        <v/>
      </c>
      <c r="L7" s="11" t="str">
        <f aca="false">IF($K7="","",$K7-$H7)</f>
        <v/>
      </c>
      <c r="M7" s="12" t="str">
        <f aca="false">IF(OR($F7="",$F7=0),"",$L7/$F7)</f>
        <v/>
      </c>
      <c r="N7" s="14"/>
      <c r="O7" s="14"/>
      <c r="P7" s="14"/>
      <c r="Q7" s="14"/>
    </row>
    <row r="8" customFormat="false" ht="15" hidden="false" customHeight="false" outlineLevel="0" collapsed="false">
      <c r="A8" s="16"/>
      <c r="B8" s="14"/>
      <c r="C8" s="14" t="str">
        <f aca="false">IFERROR(IF($B8="","",INDEX(Inventory!$B$3:$B$253,MATCH($B8,Inventory!$A$3:$A$253,0))),"")</f>
        <v/>
      </c>
      <c r="D8" s="15"/>
      <c r="E8" s="11"/>
      <c r="F8" s="11" t="str">
        <f aca="false">IF($D8="","",$D8*$E8)</f>
        <v/>
      </c>
      <c r="G8" s="11" t="str">
        <f aca="false">IFERROR(IF($B8="","",INDEX(Inventory!$G$3:$G$253,MATCH($B8,Inventory!$A$3:$A$253,0))),"")</f>
        <v/>
      </c>
      <c r="H8" s="11" t="str">
        <f aca="false">IF($D8="","",$D8*IFERROR($G8+0,0))</f>
        <v/>
      </c>
      <c r="I8" s="11"/>
      <c r="J8" s="11"/>
      <c r="K8" s="11" t="str">
        <f aca="false">IF($F8="","",$F8-$I8-$J8)</f>
        <v/>
      </c>
      <c r="L8" s="11" t="str">
        <f aca="false">IF($K8="","",$K8-$H8)</f>
        <v/>
      </c>
      <c r="M8" s="12" t="str">
        <f aca="false">IF(OR($F8="",$F8=0),"",$L8/$F8)</f>
        <v/>
      </c>
      <c r="N8" s="14"/>
      <c r="O8" s="14"/>
      <c r="P8" s="14"/>
      <c r="Q8" s="14"/>
    </row>
    <row r="9" customFormat="false" ht="15" hidden="false" customHeight="false" outlineLevel="0" collapsed="false">
      <c r="A9" s="16"/>
      <c r="B9" s="14"/>
      <c r="C9" s="14" t="str">
        <f aca="false">IFERROR(IF($B9="","",INDEX(Inventory!$B$3:$B$253,MATCH($B9,Inventory!$A$3:$A$253,0))),"")</f>
        <v/>
      </c>
      <c r="D9" s="15"/>
      <c r="E9" s="11"/>
      <c r="F9" s="11" t="str">
        <f aca="false">IF($D9="","",$D9*$E9)</f>
        <v/>
      </c>
      <c r="G9" s="11" t="str">
        <f aca="false">IFERROR(IF($B9="","",INDEX(Inventory!$G$3:$G$253,MATCH($B9,Inventory!$A$3:$A$253,0))),"")</f>
        <v/>
      </c>
      <c r="H9" s="11" t="str">
        <f aca="false">IF($D9="","",$D9*IFERROR($G9+0,0))</f>
        <v/>
      </c>
      <c r="I9" s="11"/>
      <c r="J9" s="11"/>
      <c r="K9" s="11" t="str">
        <f aca="false">IF($F9="","",$F9-$I9-$J9)</f>
        <v/>
      </c>
      <c r="L9" s="11" t="str">
        <f aca="false">IF($K9="","",$K9-$H9)</f>
        <v/>
      </c>
      <c r="M9" s="12" t="str">
        <f aca="false">IF(OR($F9="",$F9=0),"",$L9/$F9)</f>
        <v/>
      </c>
      <c r="N9" s="14"/>
      <c r="O9" s="14"/>
      <c r="P9" s="14"/>
      <c r="Q9" s="14"/>
    </row>
    <row r="10" customFormat="false" ht="15" hidden="false" customHeight="false" outlineLevel="0" collapsed="false">
      <c r="A10" s="16"/>
      <c r="B10" s="14"/>
      <c r="C10" s="14" t="str">
        <f aca="false">IFERROR(IF($B10="","",INDEX(Inventory!$B$3:$B$253,MATCH($B10,Inventory!$A$3:$A$253,0))),"")</f>
        <v/>
      </c>
      <c r="D10" s="15"/>
      <c r="E10" s="11"/>
      <c r="F10" s="11" t="str">
        <f aca="false">IF($D10="","",$D10*$E10)</f>
        <v/>
      </c>
      <c r="G10" s="11" t="str">
        <f aca="false">IFERROR(IF($B10="","",INDEX(Inventory!$G$3:$G$253,MATCH($B10,Inventory!$A$3:$A$253,0))),"")</f>
        <v/>
      </c>
      <c r="H10" s="11" t="str">
        <f aca="false">IF($D10="","",$D10*IFERROR($G10+0,0))</f>
        <v/>
      </c>
      <c r="I10" s="11"/>
      <c r="J10" s="11"/>
      <c r="K10" s="11" t="str">
        <f aca="false">IF($F10="","",$F10-$I10-$J10)</f>
        <v/>
      </c>
      <c r="L10" s="11" t="str">
        <f aca="false">IF($K10="","",$K10-$H10)</f>
        <v/>
      </c>
      <c r="M10" s="12" t="str">
        <f aca="false">IF(OR($F10="",$F10=0),"",$L10/$F10)</f>
        <v/>
      </c>
      <c r="N10" s="14"/>
      <c r="O10" s="14"/>
      <c r="P10" s="14"/>
      <c r="Q10" s="14"/>
    </row>
    <row r="11" customFormat="false" ht="15" hidden="false" customHeight="false" outlineLevel="0" collapsed="false">
      <c r="A11" s="16"/>
      <c r="B11" s="14"/>
      <c r="C11" s="14" t="str">
        <f aca="false">IFERROR(IF($B11="","",INDEX(Inventory!$B$3:$B$253,MATCH($B11,Inventory!$A$3:$A$253,0))),"")</f>
        <v/>
      </c>
      <c r="D11" s="15"/>
      <c r="E11" s="11"/>
      <c r="F11" s="11" t="str">
        <f aca="false">IF($D11="","",$D11*$E11)</f>
        <v/>
      </c>
      <c r="G11" s="11" t="str">
        <f aca="false">IFERROR(IF($B11="","",INDEX(Inventory!$G$3:$G$253,MATCH($B11,Inventory!$A$3:$A$253,0))),"")</f>
        <v/>
      </c>
      <c r="H11" s="11" t="str">
        <f aca="false">IF($D11="","",$D11*IFERROR($G11+0,0))</f>
        <v/>
      </c>
      <c r="I11" s="11"/>
      <c r="J11" s="11"/>
      <c r="K11" s="11" t="str">
        <f aca="false">IF($F11="","",$F11-$I11-$J11)</f>
        <v/>
      </c>
      <c r="L11" s="11" t="str">
        <f aca="false">IF($K11="","",$K11-$H11)</f>
        <v/>
      </c>
      <c r="M11" s="12" t="str">
        <f aca="false">IF(OR($F11="",$F11=0),"",$L11/$F11)</f>
        <v/>
      </c>
      <c r="N11" s="14"/>
      <c r="O11" s="14"/>
      <c r="P11" s="14"/>
      <c r="Q11" s="14"/>
    </row>
    <row r="12" customFormat="false" ht="15" hidden="false" customHeight="false" outlineLevel="0" collapsed="false">
      <c r="A12" s="16"/>
      <c r="B12" s="14"/>
      <c r="C12" s="14" t="str">
        <f aca="false">IFERROR(IF($B12="","",INDEX(Inventory!$B$3:$B$253,MATCH($B12,Inventory!$A$3:$A$253,0))),"")</f>
        <v/>
      </c>
      <c r="D12" s="15"/>
      <c r="E12" s="11"/>
      <c r="F12" s="11" t="str">
        <f aca="false">IF($D12="","",$D12*$E12)</f>
        <v/>
      </c>
      <c r="G12" s="11" t="str">
        <f aca="false">IFERROR(IF($B12="","",INDEX(Inventory!$G$3:$G$253,MATCH($B12,Inventory!$A$3:$A$253,0))),"")</f>
        <v/>
      </c>
      <c r="H12" s="11" t="str">
        <f aca="false">IF($D12="","",$D12*IFERROR($G12+0,0))</f>
        <v/>
      </c>
      <c r="I12" s="11"/>
      <c r="J12" s="11"/>
      <c r="K12" s="11" t="str">
        <f aca="false">IF($F12="","",$F12-$I12-$J12)</f>
        <v/>
      </c>
      <c r="L12" s="11" t="str">
        <f aca="false">IF($K12="","",$K12-$H12)</f>
        <v/>
      </c>
      <c r="M12" s="12" t="str">
        <f aca="false">IF(OR($F12="",$F12=0),"",$L12/$F12)</f>
        <v/>
      </c>
      <c r="N12" s="14"/>
      <c r="O12" s="14"/>
      <c r="P12" s="14"/>
      <c r="Q12" s="14"/>
    </row>
    <row r="13" customFormat="false" ht="15" hidden="false" customHeight="false" outlineLevel="0" collapsed="false">
      <c r="A13" s="16"/>
      <c r="B13" s="14"/>
      <c r="C13" s="14" t="str">
        <f aca="false">IFERROR(IF($B13="","",INDEX(Inventory!$B$3:$B$253,MATCH($B13,Inventory!$A$3:$A$253,0))),"")</f>
        <v/>
      </c>
      <c r="D13" s="15"/>
      <c r="E13" s="11"/>
      <c r="F13" s="11" t="str">
        <f aca="false">IF($D13="","",$D13*$E13)</f>
        <v/>
      </c>
      <c r="G13" s="11" t="str">
        <f aca="false">IFERROR(IF($B13="","",INDEX(Inventory!$G$3:$G$253,MATCH($B13,Inventory!$A$3:$A$253,0))),"")</f>
        <v/>
      </c>
      <c r="H13" s="11" t="str">
        <f aca="false">IF($D13="","",$D13*IFERROR($G13+0,0))</f>
        <v/>
      </c>
      <c r="I13" s="11"/>
      <c r="J13" s="11"/>
      <c r="K13" s="11" t="str">
        <f aca="false">IF($F13="","",$F13-$I13-$J13)</f>
        <v/>
      </c>
      <c r="L13" s="11" t="str">
        <f aca="false">IF($K13="","",$K13-$H13)</f>
        <v/>
      </c>
      <c r="M13" s="12" t="str">
        <f aca="false">IF(OR($F13="",$F13=0),"",$L13/$F13)</f>
        <v/>
      </c>
      <c r="N13" s="14"/>
      <c r="O13" s="14"/>
      <c r="P13" s="14"/>
      <c r="Q13" s="14"/>
    </row>
    <row r="14" customFormat="false" ht="15" hidden="false" customHeight="false" outlineLevel="0" collapsed="false">
      <c r="A14" s="16"/>
      <c r="B14" s="14"/>
      <c r="C14" s="14" t="str">
        <f aca="false">IFERROR(IF($B14="","",INDEX(Inventory!$B$3:$B$253,MATCH($B14,Inventory!$A$3:$A$253,0))),"")</f>
        <v/>
      </c>
      <c r="D14" s="15"/>
      <c r="E14" s="11"/>
      <c r="F14" s="11" t="str">
        <f aca="false">IF($D14="","",$D14*$E14)</f>
        <v/>
      </c>
      <c r="G14" s="11" t="str">
        <f aca="false">IFERROR(IF($B14="","",INDEX(Inventory!$G$3:$G$253,MATCH($B14,Inventory!$A$3:$A$253,0))),"")</f>
        <v/>
      </c>
      <c r="H14" s="11" t="str">
        <f aca="false">IF($D14="","",$D14*IFERROR($G14+0,0))</f>
        <v/>
      </c>
      <c r="I14" s="11"/>
      <c r="J14" s="11"/>
      <c r="K14" s="11" t="str">
        <f aca="false">IF($F14="","",$F14-$I14-$J14)</f>
        <v/>
      </c>
      <c r="L14" s="11" t="str">
        <f aca="false">IF($K14="","",$K14-$H14)</f>
        <v/>
      </c>
      <c r="M14" s="12" t="str">
        <f aca="false">IF(OR($F14="",$F14=0),"",$L14/$F14)</f>
        <v/>
      </c>
      <c r="N14" s="14"/>
      <c r="O14" s="14"/>
      <c r="P14" s="14"/>
      <c r="Q14" s="14"/>
    </row>
    <row r="15" customFormat="false" ht="15" hidden="false" customHeight="false" outlineLevel="0" collapsed="false">
      <c r="A15" s="16"/>
      <c r="B15" s="14"/>
      <c r="C15" s="14" t="str">
        <f aca="false">IFERROR(IF($B15="","",INDEX(Inventory!$B$3:$B$253,MATCH($B15,Inventory!$A$3:$A$253,0))),"")</f>
        <v/>
      </c>
      <c r="D15" s="15"/>
      <c r="E15" s="11"/>
      <c r="F15" s="11" t="str">
        <f aca="false">IF($D15="","",$D15*$E15)</f>
        <v/>
      </c>
      <c r="G15" s="11" t="str">
        <f aca="false">IFERROR(IF($B15="","",INDEX(Inventory!$G$3:$G$253,MATCH($B15,Inventory!$A$3:$A$253,0))),"")</f>
        <v/>
      </c>
      <c r="H15" s="11" t="str">
        <f aca="false">IF($D15="","",$D15*IFERROR($G15+0,0))</f>
        <v/>
      </c>
      <c r="I15" s="11"/>
      <c r="J15" s="11"/>
      <c r="K15" s="11" t="str">
        <f aca="false">IF($F15="","",$F15-$I15-$J15)</f>
        <v/>
      </c>
      <c r="L15" s="11" t="str">
        <f aca="false">IF($K15="","",$K15-$H15)</f>
        <v/>
      </c>
      <c r="M15" s="12" t="str">
        <f aca="false">IF(OR($F15="",$F15=0),"",$L15/$F15)</f>
        <v/>
      </c>
      <c r="N15" s="14"/>
      <c r="O15" s="14"/>
      <c r="P15" s="14"/>
      <c r="Q15" s="14"/>
    </row>
    <row r="16" customFormat="false" ht="15" hidden="false" customHeight="false" outlineLevel="0" collapsed="false">
      <c r="A16" s="16"/>
      <c r="B16" s="14"/>
      <c r="C16" s="14" t="str">
        <f aca="false">IFERROR(IF($B16="","",INDEX(Inventory!$B$3:$B$253,MATCH($B16,Inventory!$A$3:$A$253,0))),"")</f>
        <v/>
      </c>
      <c r="D16" s="15"/>
      <c r="E16" s="11"/>
      <c r="F16" s="11" t="str">
        <f aca="false">IF($D16="","",$D16*$E16)</f>
        <v/>
      </c>
      <c r="G16" s="11" t="str">
        <f aca="false">IFERROR(IF($B16="","",INDEX(Inventory!$G$3:$G$253,MATCH($B16,Inventory!$A$3:$A$253,0))),"")</f>
        <v/>
      </c>
      <c r="H16" s="11" t="str">
        <f aca="false">IF($D16="","",$D16*IFERROR($G16+0,0))</f>
        <v/>
      </c>
      <c r="I16" s="11"/>
      <c r="J16" s="11"/>
      <c r="K16" s="11" t="str">
        <f aca="false">IF($F16="","",$F16-$I16-$J16)</f>
        <v/>
      </c>
      <c r="L16" s="11" t="str">
        <f aca="false">IF($K16="","",$K16-$H16)</f>
        <v/>
      </c>
      <c r="M16" s="12" t="str">
        <f aca="false">IF(OR($F16="",$F16=0),"",$L16/$F16)</f>
        <v/>
      </c>
      <c r="N16" s="14"/>
      <c r="O16" s="14"/>
      <c r="P16" s="14"/>
      <c r="Q16" s="14"/>
    </row>
    <row r="17" customFormat="false" ht="15" hidden="false" customHeight="false" outlineLevel="0" collapsed="false">
      <c r="A17" s="16"/>
      <c r="B17" s="14"/>
      <c r="C17" s="14" t="str">
        <f aca="false">IFERROR(IF($B17="","",INDEX(Inventory!$B$3:$B$253,MATCH($B17,Inventory!$A$3:$A$253,0))),"")</f>
        <v/>
      </c>
      <c r="D17" s="15"/>
      <c r="E17" s="11"/>
      <c r="F17" s="11" t="str">
        <f aca="false">IF($D17="","",$D17*$E17)</f>
        <v/>
      </c>
      <c r="G17" s="11" t="str">
        <f aca="false">IFERROR(IF($B17="","",INDEX(Inventory!$G$3:$G$253,MATCH($B17,Inventory!$A$3:$A$253,0))),"")</f>
        <v/>
      </c>
      <c r="H17" s="11" t="str">
        <f aca="false">IF($D17="","",$D17*IFERROR($G17+0,0))</f>
        <v/>
      </c>
      <c r="I17" s="11"/>
      <c r="J17" s="11"/>
      <c r="K17" s="11" t="str">
        <f aca="false">IF($F17="","",$F17-$I17-$J17)</f>
        <v/>
      </c>
      <c r="L17" s="11" t="str">
        <f aca="false">IF($K17="","",$K17-$H17)</f>
        <v/>
      </c>
      <c r="M17" s="12" t="str">
        <f aca="false">IF(OR($F17="",$F17=0),"",$L17/$F17)</f>
        <v/>
      </c>
      <c r="N17" s="14"/>
      <c r="O17" s="14"/>
      <c r="P17" s="14"/>
      <c r="Q17" s="14"/>
    </row>
    <row r="18" customFormat="false" ht="15" hidden="false" customHeight="false" outlineLevel="0" collapsed="false">
      <c r="A18" s="16"/>
      <c r="B18" s="14"/>
      <c r="C18" s="14" t="str">
        <f aca="false">IFERROR(IF($B18="","",INDEX(Inventory!$B$3:$B$253,MATCH($B18,Inventory!$A$3:$A$253,0))),"")</f>
        <v/>
      </c>
      <c r="D18" s="15"/>
      <c r="E18" s="11"/>
      <c r="F18" s="11" t="str">
        <f aca="false">IF($D18="","",$D18*$E18)</f>
        <v/>
      </c>
      <c r="G18" s="11" t="str">
        <f aca="false">IFERROR(IF($B18="","",INDEX(Inventory!$G$3:$G$253,MATCH($B18,Inventory!$A$3:$A$253,0))),"")</f>
        <v/>
      </c>
      <c r="H18" s="11" t="str">
        <f aca="false">IF($D18="","",$D18*IFERROR($G18+0,0))</f>
        <v/>
      </c>
      <c r="I18" s="11"/>
      <c r="J18" s="11"/>
      <c r="K18" s="11" t="str">
        <f aca="false">IF($F18="","",$F18-$I18-$J18)</f>
        <v/>
      </c>
      <c r="L18" s="11" t="str">
        <f aca="false">IF($K18="","",$K18-$H18)</f>
        <v/>
      </c>
      <c r="M18" s="12" t="str">
        <f aca="false">IF(OR($F18="",$F18=0),"",$L18/$F18)</f>
        <v/>
      </c>
      <c r="N18" s="14"/>
      <c r="O18" s="14"/>
      <c r="P18" s="14"/>
      <c r="Q18" s="14"/>
    </row>
    <row r="19" customFormat="false" ht="15" hidden="false" customHeight="false" outlineLevel="0" collapsed="false">
      <c r="A19" s="16"/>
      <c r="B19" s="14"/>
      <c r="C19" s="14" t="str">
        <f aca="false">IFERROR(IF($B19="","",INDEX(Inventory!$B$3:$B$253,MATCH($B19,Inventory!$A$3:$A$253,0))),"")</f>
        <v/>
      </c>
      <c r="D19" s="15"/>
      <c r="E19" s="11"/>
      <c r="F19" s="11" t="str">
        <f aca="false">IF($D19="","",$D19*$E19)</f>
        <v/>
      </c>
      <c r="G19" s="11" t="str">
        <f aca="false">IFERROR(IF($B19="","",INDEX(Inventory!$G$3:$G$253,MATCH($B19,Inventory!$A$3:$A$253,0))),"")</f>
        <v/>
      </c>
      <c r="H19" s="11" t="str">
        <f aca="false">IF($D19="","",$D19*IFERROR($G19+0,0))</f>
        <v/>
      </c>
      <c r="I19" s="11"/>
      <c r="J19" s="11"/>
      <c r="K19" s="11" t="str">
        <f aca="false">IF($F19="","",$F19-$I19-$J19)</f>
        <v/>
      </c>
      <c r="L19" s="11" t="str">
        <f aca="false">IF($K19="","",$K19-$H19)</f>
        <v/>
      </c>
      <c r="M19" s="12" t="str">
        <f aca="false">IF(OR($F19="",$F19=0),"",$L19/$F19)</f>
        <v/>
      </c>
      <c r="N19" s="14"/>
      <c r="O19" s="14"/>
      <c r="P19" s="14"/>
      <c r="Q19" s="14"/>
    </row>
    <row r="20" customFormat="false" ht="15" hidden="false" customHeight="false" outlineLevel="0" collapsed="false">
      <c r="A20" s="16"/>
      <c r="B20" s="14"/>
      <c r="C20" s="14" t="str">
        <f aca="false">IFERROR(IF($B20="","",INDEX(Inventory!$B$3:$B$253,MATCH($B20,Inventory!$A$3:$A$253,0))),"")</f>
        <v/>
      </c>
      <c r="D20" s="15"/>
      <c r="E20" s="11"/>
      <c r="F20" s="11" t="str">
        <f aca="false">IF($D20="","",$D20*$E20)</f>
        <v/>
      </c>
      <c r="G20" s="11" t="str">
        <f aca="false">IFERROR(IF($B20="","",INDEX(Inventory!$G$3:$G$253,MATCH($B20,Inventory!$A$3:$A$253,0))),"")</f>
        <v/>
      </c>
      <c r="H20" s="11" t="str">
        <f aca="false">IF($D20="","",$D20*IFERROR($G20+0,0))</f>
        <v/>
      </c>
      <c r="I20" s="11"/>
      <c r="J20" s="11"/>
      <c r="K20" s="11" t="str">
        <f aca="false">IF($F20="","",$F20-$I20-$J20)</f>
        <v/>
      </c>
      <c r="L20" s="11" t="str">
        <f aca="false">IF($K20="","",$K20-$H20)</f>
        <v/>
      </c>
      <c r="M20" s="12" t="str">
        <f aca="false">IF(OR($F20="",$F20=0),"",$L20/$F20)</f>
        <v/>
      </c>
      <c r="N20" s="14"/>
      <c r="O20" s="14"/>
      <c r="P20" s="14"/>
      <c r="Q20" s="14"/>
    </row>
    <row r="21" customFormat="false" ht="15" hidden="false" customHeight="false" outlineLevel="0" collapsed="false">
      <c r="A21" s="16"/>
      <c r="B21" s="14"/>
      <c r="C21" s="14" t="str">
        <f aca="false">IFERROR(IF($B21="","",INDEX(Inventory!$B$3:$B$253,MATCH($B21,Inventory!$A$3:$A$253,0))),"")</f>
        <v/>
      </c>
      <c r="D21" s="15"/>
      <c r="E21" s="11"/>
      <c r="F21" s="11" t="str">
        <f aca="false">IF($D21="","",$D21*$E21)</f>
        <v/>
      </c>
      <c r="G21" s="11" t="str">
        <f aca="false">IFERROR(IF($B21="","",INDEX(Inventory!$G$3:$G$253,MATCH($B21,Inventory!$A$3:$A$253,0))),"")</f>
        <v/>
      </c>
      <c r="H21" s="11" t="str">
        <f aca="false">IF($D21="","",$D21*IFERROR($G21+0,0))</f>
        <v/>
      </c>
      <c r="I21" s="11"/>
      <c r="J21" s="11"/>
      <c r="K21" s="11" t="str">
        <f aca="false">IF($F21="","",$F21-$I21-$J21)</f>
        <v/>
      </c>
      <c r="L21" s="11" t="str">
        <f aca="false">IF($K21="","",$K21-$H21)</f>
        <v/>
      </c>
      <c r="M21" s="12" t="str">
        <f aca="false">IF(OR($F21="",$F21=0),"",$L21/$F21)</f>
        <v/>
      </c>
      <c r="N21" s="14"/>
      <c r="O21" s="14"/>
      <c r="P21" s="14"/>
      <c r="Q21" s="14"/>
    </row>
    <row r="22" customFormat="false" ht="15" hidden="false" customHeight="false" outlineLevel="0" collapsed="false">
      <c r="A22" s="16"/>
      <c r="B22" s="14"/>
      <c r="C22" s="14" t="str">
        <f aca="false">IFERROR(IF($B22="","",INDEX(Inventory!$B$3:$B$253,MATCH($B22,Inventory!$A$3:$A$253,0))),"")</f>
        <v/>
      </c>
      <c r="D22" s="15"/>
      <c r="E22" s="11"/>
      <c r="F22" s="11" t="str">
        <f aca="false">IF($D22="","",$D22*$E22)</f>
        <v/>
      </c>
      <c r="G22" s="11" t="str">
        <f aca="false">IFERROR(IF($B22="","",INDEX(Inventory!$G$3:$G$253,MATCH($B22,Inventory!$A$3:$A$253,0))),"")</f>
        <v/>
      </c>
      <c r="H22" s="11" t="str">
        <f aca="false">IF($D22="","",$D22*IFERROR($G22+0,0))</f>
        <v/>
      </c>
      <c r="I22" s="11"/>
      <c r="J22" s="11"/>
      <c r="K22" s="11" t="str">
        <f aca="false">IF($F22="","",$F22-$I22-$J22)</f>
        <v/>
      </c>
      <c r="L22" s="11" t="str">
        <f aca="false">IF($K22="","",$K22-$H22)</f>
        <v/>
      </c>
      <c r="M22" s="12" t="str">
        <f aca="false">IF(OR($F22="",$F22=0),"",$L22/$F22)</f>
        <v/>
      </c>
      <c r="N22" s="14"/>
      <c r="O22" s="14"/>
      <c r="P22" s="14"/>
      <c r="Q22" s="14"/>
    </row>
    <row r="23" customFormat="false" ht="15" hidden="false" customHeight="false" outlineLevel="0" collapsed="false">
      <c r="A23" s="16"/>
      <c r="B23" s="14"/>
      <c r="C23" s="14" t="str">
        <f aca="false">IFERROR(IF($B23="","",INDEX(Inventory!$B$3:$B$253,MATCH($B23,Inventory!$A$3:$A$253,0))),"")</f>
        <v/>
      </c>
      <c r="D23" s="15"/>
      <c r="E23" s="11"/>
      <c r="F23" s="11" t="str">
        <f aca="false">IF($D23="","",$D23*$E23)</f>
        <v/>
      </c>
      <c r="G23" s="11" t="str">
        <f aca="false">IFERROR(IF($B23="","",INDEX(Inventory!$G$3:$G$253,MATCH($B23,Inventory!$A$3:$A$253,0))),"")</f>
        <v/>
      </c>
      <c r="H23" s="11" t="str">
        <f aca="false">IF($D23="","",$D23*IFERROR($G23+0,0))</f>
        <v/>
      </c>
      <c r="I23" s="11"/>
      <c r="J23" s="11"/>
      <c r="K23" s="11" t="str">
        <f aca="false">IF($F23="","",$F23-$I23-$J23)</f>
        <v/>
      </c>
      <c r="L23" s="11" t="str">
        <f aca="false">IF($K23="","",$K23-$H23)</f>
        <v/>
      </c>
      <c r="M23" s="12" t="str">
        <f aca="false">IF(OR($F23="",$F23=0),"",$L23/$F23)</f>
        <v/>
      </c>
      <c r="N23" s="14"/>
      <c r="O23" s="14"/>
      <c r="P23" s="14"/>
      <c r="Q23" s="14"/>
    </row>
    <row r="24" customFormat="false" ht="15" hidden="false" customHeight="false" outlineLevel="0" collapsed="false">
      <c r="A24" s="16"/>
      <c r="B24" s="14"/>
      <c r="C24" s="14" t="str">
        <f aca="false">IFERROR(IF($B24="","",INDEX(Inventory!$B$3:$B$253,MATCH($B24,Inventory!$A$3:$A$253,0))),"")</f>
        <v/>
      </c>
      <c r="D24" s="15"/>
      <c r="E24" s="11"/>
      <c r="F24" s="11" t="str">
        <f aca="false">IF($D24="","",$D24*$E24)</f>
        <v/>
      </c>
      <c r="G24" s="11" t="str">
        <f aca="false">IFERROR(IF($B24="","",INDEX(Inventory!$G$3:$G$253,MATCH($B24,Inventory!$A$3:$A$253,0))),"")</f>
        <v/>
      </c>
      <c r="H24" s="11" t="str">
        <f aca="false">IF($D24="","",$D24*IFERROR($G24+0,0))</f>
        <v/>
      </c>
      <c r="I24" s="11"/>
      <c r="J24" s="11"/>
      <c r="K24" s="11" t="str">
        <f aca="false">IF($F24="","",$F24-$I24-$J24)</f>
        <v/>
      </c>
      <c r="L24" s="11" t="str">
        <f aca="false">IF($K24="","",$K24-$H24)</f>
        <v/>
      </c>
      <c r="M24" s="12" t="str">
        <f aca="false">IF(OR($F24="",$F24=0),"",$L24/$F24)</f>
        <v/>
      </c>
      <c r="N24" s="14"/>
      <c r="O24" s="14"/>
      <c r="P24" s="14"/>
      <c r="Q24" s="14"/>
    </row>
    <row r="25" customFormat="false" ht="15" hidden="false" customHeight="false" outlineLevel="0" collapsed="false">
      <c r="A25" s="16"/>
      <c r="B25" s="14"/>
      <c r="C25" s="14" t="str">
        <f aca="false">IFERROR(IF($B25="","",INDEX(Inventory!$B$3:$B$253,MATCH($B25,Inventory!$A$3:$A$253,0))),"")</f>
        <v/>
      </c>
      <c r="D25" s="15"/>
      <c r="E25" s="11"/>
      <c r="F25" s="11" t="str">
        <f aca="false">IF($D25="","",$D25*$E25)</f>
        <v/>
      </c>
      <c r="G25" s="11" t="str">
        <f aca="false">IFERROR(IF($B25="","",INDEX(Inventory!$G$3:$G$253,MATCH($B25,Inventory!$A$3:$A$253,0))),"")</f>
        <v/>
      </c>
      <c r="H25" s="11" t="str">
        <f aca="false">IF($D25="","",$D25*IFERROR($G25+0,0))</f>
        <v/>
      </c>
      <c r="I25" s="11"/>
      <c r="J25" s="11"/>
      <c r="K25" s="11" t="str">
        <f aca="false">IF($F25="","",$F25-$I25-$J25)</f>
        <v/>
      </c>
      <c r="L25" s="11" t="str">
        <f aca="false">IF($K25="","",$K25-$H25)</f>
        <v/>
      </c>
      <c r="M25" s="12" t="str">
        <f aca="false">IF(OR($F25="",$F25=0),"",$L25/$F25)</f>
        <v/>
      </c>
      <c r="N25" s="14"/>
      <c r="O25" s="14"/>
      <c r="P25" s="14"/>
      <c r="Q25" s="14"/>
    </row>
    <row r="26" customFormat="false" ht="15" hidden="false" customHeight="false" outlineLevel="0" collapsed="false">
      <c r="A26" s="16"/>
      <c r="B26" s="14"/>
      <c r="C26" s="14" t="str">
        <f aca="false">IFERROR(IF($B26="","",INDEX(Inventory!$B$3:$B$253,MATCH($B26,Inventory!$A$3:$A$253,0))),"")</f>
        <v/>
      </c>
      <c r="D26" s="15"/>
      <c r="E26" s="11"/>
      <c r="F26" s="11" t="str">
        <f aca="false">IF($D26="","",$D26*$E26)</f>
        <v/>
      </c>
      <c r="G26" s="11" t="str">
        <f aca="false">IFERROR(IF($B26="","",INDEX(Inventory!$G$3:$G$253,MATCH($B26,Inventory!$A$3:$A$253,0))),"")</f>
        <v/>
      </c>
      <c r="H26" s="11" t="str">
        <f aca="false">IF($D26="","",$D26*IFERROR($G26+0,0))</f>
        <v/>
      </c>
      <c r="I26" s="11"/>
      <c r="J26" s="11"/>
      <c r="K26" s="11" t="str">
        <f aca="false">IF($F26="","",$F26-$I26-$J26)</f>
        <v/>
      </c>
      <c r="L26" s="11" t="str">
        <f aca="false">IF($K26="","",$K26-$H26)</f>
        <v/>
      </c>
      <c r="M26" s="12" t="str">
        <f aca="false">IF(OR($F26="",$F26=0),"",$L26/$F26)</f>
        <v/>
      </c>
      <c r="N26" s="14"/>
      <c r="O26" s="14"/>
      <c r="P26" s="14"/>
      <c r="Q26" s="14"/>
    </row>
    <row r="27" customFormat="false" ht="15" hidden="false" customHeight="false" outlineLevel="0" collapsed="false">
      <c r="A27" s="16"/>
      <c r="B27" s="14"/>
      <c r="C27" s="14" t="str">
        <f aca="false">IFERROR(IF($B27="","",INDEX(Inventory!$B$3:$B$253,MATCH($B27,Inventory!$A$3:$A$253,0))),"")</f>
        <v/>
      </c>
      <c r="D27" s="15"/>
      <c r="E27" s="11"/>
      <c r="F27" s="11" t="str">
        <f aca="false">IF($D27="","",$D27*$E27)</f>
        <v/>
      </c>
      <c r="G27" s="11" t="str">
        <f aca="false">IFERROR(IF($B27="","",INDEX(Inventory!$G$3:$G$253,MATCH($B27,Inventory!$A$3:$A$253,0))),"")</f>
        <v/>
      </c>
      <c r="H27" s="11" t="str">
        <f aca="false">IF($D27="","",$D27*IFERROR($G27+0,0))</f>
        <v/>
      </c>
      <c r="I27" s="11"/>
      <c r="J27" s="11"/>
      <c r="K27" s="11" t="str">
        <f aca="false">IF($F27="","",$F27-$I27-$J27)</f>
        <v/>
      </c>
      <c r="L27" s="11" t="str">
        <f aca="false">IF($K27="","",$K27-$H27)</f>
        <v/>
      </c>
      <c r="M27" s="12" t="str">
        <f aca="false">IF(OR($F27="",$F27=0),"",$L27/$F27)</f>
        <v/>
      </c>
      <c r="N27" s="14"/>
      <c r="O27" s="14"/>
      <c r="P27" s="14"/>
      <c r="Q27" s="14"/>
    </row>
    <row r="28" customFormat="false" ht="15" hidden="false" customHeight="false" outlineLevel="0" collapsed="false">
      <c r="A28" s="16"/>
      <c r="B28" s="14"/>
      <c r="C28" s="14" t="str">
        <f aca="false">IFERROR(IF($B28="","",INDEX(Inventory!$B$3:$B$253,MATCH($B28,Inventory!$A$3:$A$253,0))),"")</f>
        <v/>
      </c>
      <c r="D28" s="15"/>
      <c r="E28" s="11"/>
      <c r="F28" s="11" t="str">
        <f aca="false">IF($D28="","",$D28*$E28)</f>
        <v/>
      </c>
      <c r="G28" s="11" t="str">
        <f aca="false">IFERROR(IF($B28="","",INDEX(Inventory!$G$3:$G$253,MATCH($B28,Inventory!$A$3:$A$253,0))),"")</f>
        <v/>
      </c>
      <c r="H28" s="11" t="str">
        <f aca="false">IF($D28="","",$D28*IFERROR($G28+0,0))</f>
        <v/>
      </c>
      <c r="I28" s="11"/>
      <c r="J28" s="11"/>
      <c r="K28" s="11" t="str">
        <f aca="false">IF($F28="","",$F28-$I28-$J28)</f>
        <v/>
      </c>
      <c r="L28" s="11" t="str">
        <f aca="false">IF($K28="","",$K28-$H28)</f>
        <v/>
      </c>
      <c r="M28" s="12" t="str">
        <f aca="false">IF(OR($F28="",$F28=0),"",$L28/$F28)</f>
        <v/>
      </c>
      <c r="N28" s="14"/>
      <c r="O28" s="14"/>
      <c r="P28" s="14"/>
      <c r="Q28" s="14"/>
    </row>
    <row r="29" customFormat="false" ht="15" hidden="false" customHeight="false" outlineLevel="0" collapsed="false">
      <c r="A29" s="16"/>
      <c r="B29" s="14"/>
      <c r="C29" s="14" t="str">
        <f aca="false">IFERROR(IF($B29="","",INDEX(Inventory!$B$3:$B$253,MATCH($B29,Inventory!$A$3:$A$253,0))),"")</f>
        <v/>
      </c>
      <c r="D29" s="15"/>
      <c r="E29" s="11"/>
      <c r="F29" s="11" t="str">
        <f aca="false">IF($D29="","",$D29*$E29)</f>
        <v/>
      </c>
      <c r="G29" s="11" t="str">
        <f aca="false">IFERROR(IF($B29="","",INDEX(Inventory!$G$3:$G$253,MATCH($B29,Inventory!$A$3:$A$253,0))),"")</f>
        <v/>
      </c>
      <c r="H29" s="11" t="str">
        <f aca="false">IF($D29="","",$D29*IFERROR($G29+0,0))</f>
        <v/>
      </c>
      <c r="I29" s="11"/>
      <c r="J29" s="11"/>
      <c r="K29" s="11" t="str">
        <f aca="false">IF($F29="","",$F29-$I29-$J29)</f>
        <v/>
      </c>
      <c r="L29" s="11" t="str">
        <f aca="false">IF($K29="","",$K29-$H29)</f>
        <v/>
      </c>
      <c r="M29" s="12" t="str">
        <f aca="false">IF(OR($F29="",$F29=0),"",$L29/$F29)</f>
        <v/>
      </c>
      <c r="N29" s="14"/>
      <c r="O29" s="14"/>
      <c r="P29" s="14"/>
      <c r="Q29" s="14"/>
    </row>
    <row r="30" customFormat="false" ht="15" hidden="false" customHeight="false" outlineLevel="0" collapsed="false">
      <c r="A30" s="16"/>
      <c r="B30" s="14"/>
      <c r="C30" s="14" t="str">
        <f aca="false">IFERROR(IF($B30="","",INDEX(Inventory!$B$3:$B$253,MATCH($B30,Inventory!$A$3:$A$253,0))),"")</f>
        <v/>
      </c>
      <c r="D30" s="15"/>
      <c r="E30" s="11"/>
      <c r="F30" s="11" t="str">
        <f aca="false">IF($D30="","",$D30*$E30)</f>
        <v/>
      </c>
      <c r="G30" s="11" t="str">
        <f aca="false">IFERROR(IF($B30="","",INDEX(Inventory!$G$3:$G$253,MATCH($B30,Inventory!$A$3:$A$253,0))),"")</f>
        <v/>
      </c>
      <c r="H30" s="11" t="str">
        <f aca="false">IF($D30="","",$D30*IFERROR($G30+0,0))</f>
        <v/>
      </c>
      <c r="I30" s="11"/>
      <c r="J30" s="11"/>
      <c r="K30" s="11" t="str">
        <f aca="false">IF($F30="","",$F30-$I30-$J30)</f>
        <v/>
      </c>
      <c r="L30" s="11" t="str">
        <f aca="false">IF($K30="","",$K30-$H30)</f>
        <v/>
      </c>
      <c r="M30" s="12" t="str">
        <f aca="false">IF(OR($F30="",$F30=0),"",$L30/$F30)</f>
        <v/>
      </c>
      <c r="N30" s="14"/>
      <c r="O30" s="14"/>
      <c r="P30" s="14"/>
      <c r="Q30" s="14"/>
    </row>
    <row r="31" customFormat="false" ht="15" hidden="false" customHeight="false" outlineLevel="0" collapsed="false">
      <c r="A31" s="16"/>
      <c r="B31" s="14"/>
      <c r="C31" s="14" t="str">
        <f aca="false">IFERROR(IF($B31="","",INDEX(Inventory!$B$3:$B$253,MATCH($B31,Inventory!$A$3:$A$253,0))),"")</f>
        <v/>
      </c>
      <c r="D31" s="15"/>
      <c r="E31" s="11"/>
      <c r="F31" s="11" t="str">
        <f aca="false">IF($D31="","",$D31*$E31)</f>
        <v/>
      </c>
      <c r="G31" s="11" t="str">
        <f aca="false">IFERROR(IF($B31="","",INDEX(Inventory!$G$3:$G$253,MATCH($B31,Inventory!$A$3:$A$253,0))),"")</f>
        <v/>
      </c>
      <c r="H31" s="11" t="str">
        <f aca="false">IF($D31="","",$D31*IFERROR($G31+0,0))</f>
        <v/>
      </c>
      <c r="I31" s="11"/>
      <c r="J31" s="11"/>
      <c r="K31" s="11" t="str">
        <f aca="false">IF($F31="","",$F31-$I31-$J31)</f>
        <v/>
      </c>
      <c r="L31" s="11" t="str">
        <f aca="false">IF($K31="","",$K31-$H31)</f>
        <v/>
      </c>
      <c r="M31" s="12" t="str">
        <f aca="false">IF(OR($F31="",$F31=0),"",$L31/$F31)</f>
        <v/>
      </c>
      <c r="N31" s="14"/>
      <c r="O31" s="14"/>
      <c r="P31" s="14"/>
      <c r="Q31" s="14"/>
    </row>
    <row r="32" customFormat="false" ht="15" hidden="false" customHeight="false" outlineLevel="0" collapsed="false">
      <c r="A32" s="16"/>
      <c r="B32" s="14"/>
      <c r="C32" s="14" t="str">
        <f aca="false">IFERROR(IF($B32="","",INDEX(Inventory!$B$3:$B$253,MATCH($B32,Inventory!$A$3:$A$253,0))),"")</f>
        <v/>
      </c>
      <c r="D32" s="15"/>
      <c r="E32" s="11"/>
      <c r="F32" s="11" t="str">
        <f aca="false">IF($D32="","",$D32*$E32)</f>
        <v/>
      </c>
      <c r="G32" s="11" t="str">
        <f aca="false">IFERROR(IF($B32="","",INDEX(Inventory!$G$3:$G$253,MATCH($B32,Inventory!$A$3:$A$253,0))),"")</f>
        <v/>
      </c>
      <c r="H32" s="11" t="str">
        <f aca="false">IF($D32="","",$D32*IFERROR($G32+0,0))</f>
        <v/>
      </c>
      <c r="I32" s="11"/>
      <c r="J32" s="11"/>
      <c r="K32" s="11" t="str">
        <f aca="false">IF($F32="","",$F32-$I32-$J32)</f>
        <v/>
      </c>
      <c r="L32" s="11" t="str">
        <f aca="false">IF($K32="","",$K32-$H32)</f>
        <v/>
      </c>
      <c r="M32" s="12" t="str">
        <f aca="false">IF(OR($F32="",$F32=0),"",$L32/$F32)</f>
        <v/>
      </c>
      <c r="N32" s="14"/>
      <c r="O32" s="14"/>
      <c r="P32" s="14"/>
      <c r="Q32" s="14"/>
    </row>
    <row r="33" customFormat="false" ht="15" hidden="false" customHeight="false" outlineLevel="0" collapsed="false">
      <c r="A33" s="16"/>
      <c r="B33" s="14"/>
      <c r="C33" s="14" t="str">
        <f aca="false">IFERROR(IF($B33="","",INDEX(Inventory!$B$3:$B$253,MATCH($B33,Inventory!$A$3:$A$253,0))),"")</f>
        <v/>
      </c>
      <c r="D33" s="15"/>
      <c r="E33" s="11"/>
      <c r="F33" s="11" t="str">
        <f aca="false">IF($D33="","",$D33*$E33)</f>
        <v/>
      </c>
      <c r="G33" s="11" t="str">
        <f aca="false">IFERROR(IF($B33="","",INDEX(Inventory!$G$3:$G$253,MATCH($B33,Inventory!$A$3:$A$253,0))),"")</f>
        <v/>
      </c>
      <c r="H33" s="11" t="str">
        <f aca="false">IF($D33="","",$D33*IFERROR($G33+0,0))</f>
        <v/>
      </c>
      <c r="I33" s="11"/>
      <c r="J33" s="11"/>
      <c r="K33" s="11" t="str">
        <f aca="false">IF($F33="","",$F33-$I33-$J33)</f>
        <v/>
      </c>
      <c r="L33" s="11" t="str">
        <f aca="false">IF($K33="","",$K33-$H33)</f>
        <v/>
      </c>
      <c r="M33" s="12" t="str">
        <f aca="false">IF(OR($F33="",$F33=0),"",$L33/$F33)</f>
        <v/>
      </c>
      <c r="N33" s="14"/>
      <c r="O33" s="14"/>
      <c r="P33" s="14"/>
      <c r="Q33" s="14"/>
    </row>
    <row r="34" customFormat="false" ht="15" hidden="false" customHeight="false" outlineLevel="0" collapsed="false">
      <c r="A34" s="16"/>
      <c r="B34" s="14"/>
      <c r="C34" s="14" t="str">
        <f aca="false">IFERROR(IF($B34="","",INDEX(Inventory!$B$3:$B$253,MATCH($B34,Inventory!$A$3:$A$253,0))),"")</f>
        <v/>
      </c>
      <c r="D34" s="15"/>
      <c r="E34" s="11"/>
      <c r="F34" s="11" t="str">
        <f aca="false">IF($D34="","",$D34*$E34)</f>
        <v/>
      </c>
      <c r="G34" s="11" t="str">
        <f aca="false">IFERROR(IF($B34="","",INDEX(Inventory!$G$3:$G$253,MATCH($B34,Inventory!$A$3:$A$253,0))),"")</f>
        <v/>
      </c>
      <c r="H34" s="11" t="str">
        <f aca="false">IF($D34="","",$D34*IFERROR($G34+0,0))</f>
        <v/>
      </c>
      <c r="I34" s="11"/>
      <c r="J34" s="11"/>
      <c r="K34" s="11" t="str">
        <f aca="false">IF($F34="","",$F34-$I34-$J34)</f>
        <v/>
      </c>
      <c r="L34" s="11" t="str">
        <f aca="false">IF($K34="","",$K34-$H34)</f>
        <v/>
      </c>
      <c r="M34" s="12" t="str">
        <f aca="false">IF(OR($F34="",$F34=0),"",$L34/$F34)</f>
        <v/>
      </c>
      <c r="N34" s="14"/>
      <c r="O34" s="14"/>
      <c r="P34" s="14"/>
      <c r="Q34" s="14"/>
    </row>
    <row r="35" customFormat="false" ht="15" hidden="false" customHeight="false" outlineLevel="0" collapsed="false">
      <c r="A35" s="16"/>
      <c r="B35" s="14"/>
      <c r="C35" s="14" t="str">
        <f aca="false">IFERROR(IF($B35="","",INDEX(Inventory!$B$3:$B$253,MATCH($B35,Inventory!$A$3:$A$253,0))),"")</f>
        <v/>
      </c>
      <c r="D35" s="15"/>
      <c r="E35" s="11"/>
      <c r="F35" s="11" t="str">
        <f aca="false">IF($D35="","",$D35*$E35)</f>
        <v/>
      </c>
      <c r="G35" s="11" t="str">
        <f aca="false">IFERROR(IF($B35="","",INDEX(Inventory!$G$3:$G$253,MATCH($B35,Inventory!$A$3:$A$253,0))),"")</f>
        <v/>
      </c>
      <c r="H35" s="11" t="str">
        <f aca="false">IF($D35="","",$D35*IFERROR($G35+0,0))</f>
        <v/>
      </c>
      <c r="I35" s="11"/>
      <c r="J35" s="11"/>
      <c r="K35" s="11" t="str">
        <f aca="false">IF($F35="","",$F35-$I35-$J35)</f>
        <v/>
      </c>
      <c r="L35" s="11" t="str">
        <f aca="false">IF($K35="","",$K35-$H35)</f>
        <v/>
      </c>
      <c r="M35" s="12" t="str">
        <f aca="false">IF(OR($F35="",$F35=0),"",$L35/$F35)</f>
        <v/>
      </c>
      <c r="N35" s="14"/>
      <c r="O35" s="14"/>
      <c r="P35" s="14"/>
      <c r="Q35" s="14"/>
    </row>
    <row r="36" customFormat="false" ht="15" hidden="false" customHeight="false" outlineLevel="0" collapsed="false">
      <c r="A36" s="16"/>
      <c r="B36" s="14"/>
      <c r="C36" s="14" t="str">
        <f aca="false">IFERROR(IF($B36="","",INDEX(Inventory!$B$3:$B$253,MATCH($B36,Inventory!$A$3:$A$253,0))),"")</f>
        <v/>
      </c>
      <c r="D36" s="15"/>
      <c r="E36" s="11"/>
      <c r="F36" s="11" t="str">
        <f aca="false">IF($D36="","",$D36*$E36)</f>
        <v/>
      </c>
      <c r="G36" s="11" t="str">
        <f aca="false">IFERROR(IF($B36="","",INDEX(Inventory!$G$3:$G$253,MATCH($B36,Inventory!$A$3:$A$253,0))),"")</f>
        <v/>
      </c>
      <c r="H36" s="11" t="str">
        <f aca="false">IF($D36="","",$D36*IFERROR($G36+0,0))</f>
        <v/>
      </c>
      <c r="I36" s="11"/>
      <c r="J36" s="11"/>
      <c r="K36" s="11" t="str">
        <f aca="false">IF($F36="","",$F36-$I36-$J36)</f>
        <v/>
      </c>
      <c r="L36" s="11" t="str">
        <f aca="false">IF($K36="","",$K36-$H36)</f>
        <v/>
      </c>
      <c r="M36" s="12" t="str">
        <f aca="false">IF(OR($F36="",$F36=0),"",$L36/$F36)</f>
        <v/>
      </c>
      <c r="N36" s="14"/>
      <c r="O36" s="14"/>
      <c r="P36" s="14"/>
      <c r="Q36" s="14"/>
    </row>
    <row r="37" customFormat="false" ht="15" hidden="false" customHeight="false" outlineLevel="0" collapsed="false">
      <c r="A37" s="16"/>
      <c r="B37" s="14"/>
      <c r="C37" s="14" t="str">
        <f aca="false">IFERROR(IF($B37="","",INDEX(Inventory!$B$3:$B$253,MATCH($B37,Inventory!$A$3:$A$253,0))),"")</f>
        <v/>
      </c>
      <c r="D37" s="15"/>
      <c r="E37" s="11"/>
      <c r="F37" s="11" t="str">
        <f aca="false">IF($D37="","",$D37*$E37)</f>
        <v/>
      </c>
      <c r="G37" s="11" t="str">
        <f aca="false">IFERROR(IF($B37="","",INDEX(Inventory!$G$3:$G$253,MATCH($B37,Inventory!$A$3:$A$253,0))),"")</f>
        <v/>
      </c>
      <c r="H37" s="11" t="str">
        <f aca="false">IF($D37="","",$D37*IFERROR($G37+0,0))</f>
        <v/>
      </c>
      <c r="I37" s="11"/>
      <c r="J37" s="11"/>
      <c r="K37" s="11" t="str">
        <f aca="false">IF($F37="","",$F37-$I37-$J37)</f>
        <v/>
      </c>
      <c r="L37" s="11" t="str">
        <f aca="false">IF($K37="","",$K37-$H37)</f>
        <v/>
      </c>
      <c r="M37" s="12" t="str">
        <f aca="false">IF(OR($F37="",$F37=0),"",$L37/$F37)</f>
        <v/>
      </c>
      <c r="N37" s="14"/>
      <c r="O37" s="14"/>
      <c r="P37" s="14"/>
      <c r="Q37" s="14"/>
    </row>
    <row r="38" customFormat="false" ht="15" hidden="false" customHeight="false" outlineLevel="0" collapsed="false">
      <c r="A38" s="16"/>
      <c r="B38" s="14"/>
      <c r="C38" s="14" t="str">
        <f aca="false">IFERROR(IF($B38="","",INDEX(Inventory!$B$3:$B$253,MATCH($B38,Inventory!$A$3:$A$253,0))),"")</f>
        <v/>
      </c>
      <c r="D38" s="15"/>
      <c r="E38" s="11"/>
      <c r="F38" s="11" t="str">
        <f aca="false">IF($D38="","",$D38*$E38)</f>
        <v/>
      </c>
      <c r="G38" s="11" t="str">
        <f aca="false">IFERROR(IF($B38="","",INDEX(Inventory!$G$3:$G$253,MATCH($B38,Inventory!$A$3:$A$253,0))),"")</f>
        <v/>
      </c>
      <c r="H38" s="11" t="str">
        <f aca="false">IF($D38="","",$D38*IFERROR($G38+0,0))</f>
        <v/>
      </c>
      <c r="I38" s="11"/>
      <c r="J38" s="11"/>
      <c r="K38" s="11" t="str">
        <f aca="false">IF($F38="","",$F38-$I38-$J38)</f>
        <v/>
      </c>
      <c r="L38" s="11" t="str">
        <f aca="false">IF($K38="","",$K38-$H38)</f>
        <v/>
      </c>
      <c r="M38" s="12" t="str">
        <f aca="false">IF(OR($F38="",$F38=0),"",$L38/$F38)</f>
        <v/>
      </c>
      <c r="N38" s="14"/>
      <c r="O38" s="14"/>
      <c r="P38" s="14"/>
      <c r="Q38" s="14"/>
    </row>
    <row r="39" customFormat="false" ht="15" hidden="false" customHeight="false" outlineLevel="0" collapsed="false">
      <c r="A39" s="16"/>
      <c r="B39" s="14"/>
      <c r="C39" s="14" t="str">
        <f aca="false">IFERROR(IF($B39="","",INDEX(Inventory!$B$3:$B$253,MATCH($B39,Inventory!$A$3:$A$253,0))),"")</f>
        <v/>
      </c>
      <c r="D39" s="15"/>
      <c r="E39" s="11"/>
      <c r="F39" s="11" t="str">
        <f aca="false">IF($D39="","",$D39*$E39)</f>
        <v/>
      </c>
      <c r="G39" s="11" t="str">
        <f aca="false">IFERROR(IF($B39="","",INDEX(Inventory!$G$3:$G$253,MATCH($B39,Inventory!$A$3:$A$253,0))),"")</f>
        <v/>
      </c>
      <c r="H39" s="11" t="str">
        <f aca="false">IF($D39="","",$D39*IFERROR($G39+0,0))</f>
        <v/>
      </c>
      <c r="I39" s="11"/>
      <c r="J39" s="11"/>
      <c r="K39" s="11" t="str">
        <f aca="false">IF($F39="","",$F39-$I39-$J39)</f>
        <v/>
      </c>
      <c r="L39" s="11" t="str">
        <f aca="false">IF($K39="","",$K39-$H39)</f>
        <v/>
      </c>
      <c r="M39" s="12" t="str">
        <f aca="false">IF(OR($F39="",$F39=0),"",$L39/$F39)</f>
        <v/>
      </c>
      <c r="N39" s="14"/>
      <c r="O39" s="14"/>
      <c r="P39" s="14"/>
      <c r="Q39" s="14"/>
    </row>
    <row r="40" customFormat="false" ht="15" hidden="false" customHeight="false" outlineLevel="0" collapsed="false">
      <c r="A40" s="16"/>
      <c r="B40" s="14"/>
      <c r="C40" s="14" t="str">
        <f aca="false">IFERROR(IF($B40="","",INDEX(Inventory!$B$3:$B$253,MATCH($B40,Inventory!$A$3:$A$253,0))),"")</f>
        <v/>
      </c>
      <c r="D40" s="15"/>
      <c r="E40" s="11"/>
      <c r="F40" s="11" t="str">
        <f aca="false">IF($D40="","",$D40*$E40)</f>
        <v/>
      </c>
      <c r="G40" s="11" t="str">
        <f aca="false">IFERROR(IF($B40="","",INDEX(Inventory!$G$3:$G$253,MATCH($B40,Inventory!$A$3:$A$253,0))),"")</f>
        <v/>
      </c>
      <c r="H40" s="11" t="str">
        <f aca="false">IF($D40="","",$D40*IFERROR($G40+0,0))</f>
        <v/>
      </c>
      <c r="I40" s="11"/>
      <c r="J40" s="11"/>
      <c r="K40" s="11" t="str">
        <f aca="false">IF($F40="","",$F40-$I40-$J40)</f>
        <v/>
      </c>
      <c r="L40" s="11" t="str">
        <f aca="false">IF($K40="","",$K40-$H40)</f>
        <v/>
      </c>
      <c r="M40" s="12" t="str">
        <f aca="false">IF(OR($F40="",$F40=0),"",$L40/$F40)</f>
        <v/>
      </c>
      <c r="N40" s="14"/>
      <c r="O40" s="14"/>
      <c r="P40" s="14"/>
      <c r="Q40" s="14"/>
    </row>
    <row r="41" customFormat="false" ht="15" hidden="false" customHeight="false" outlineLevel="0" collapsed="false">
      <c r="A41" s="16"/>
      <c r="B41" s="14"/>
      <c r="C41" s="14" t="str">
        <f aca="false">IFERROR(IF($B41="","",INDEX(Inventory!$B$3:$B$253,MATCH($B41,Inventory!$A$3:$A$253,0))),"")</f>
        <v/>
      </c>
      <c r="D41" s="15"/>
      <c r="E41" s="11"/>
      <c r="F41" s="11" t="str">
        <f aca="false">IF($D41="","",$D41*$E41)</f>
        <v/>
      </c>
      <c r="G41" s="11" t="str">
        <f aca="false">IFERROR(IF($B41="","",INDEX(Inventory!$G$3:$G$253,MATCH($B41,Inventory!$A$3:$A$253,0))),"")</f>
        <v/>
      </c>
      <c r="H41" s="11" t="str">
        <f aca="false">IF($D41="","",$D41*IFERROR($G41+0,0))</f>
        <v/>
      </c>
      <c r="I41" s="11"/>
      <c r="J41" s="11"/>
      <c r="K41" s="11" t="str">
        <f aca="false">IF($F41="","",$F41-$I41-$J41)</f>
        <v/>
      </c>
      <c r="L41" s="11" t="str">
        <f aca="false">IF($K41="","",$K41-$H41)</f>
        <v/>
      </c>
      <c r="M41" s="12" t="str">
        <f aca="false">IF(OR($F41="",$F41=0),"",$L41/$F41)</f>
        <v/>
      </c>
      <c r="N41" s="14"/>
      <c r="O41" s="14"/>
      <c r="P41" s="14"/>
      <c r="Q41" s="14"/>
    </row>
    <row r="42" customFormat="false" ht="15" hidden="false" customHeight="false" outlineLevel="0" collapsed="false">
      <c r="A42" s="16"/>
      <c r="B42" s="14"/>
      <c r="C42" s="14" t="str">
        <f aca="false">IFERROR(IF($B42="","",INDEX(Inventory!$B$3:$B$253,MATCH($B42,Inventory!$A$3:$A$253,0))),"")</f>
        <v/>
      </c>
      <c r="D42" s="15"/>
      <c r="E42" s="11"/>
      <c r="F42" s="11" t="str">
        <f aca="false">IF($D42="","",$D42*$E42)</f>
        <v/>
      </c>
      <c r="G42" s="11" t="str">
        <f aca="false">IFERROR(IF($B42="","",INDEX(Inventory!$G$3:$G$253,MATCH($B42,Inventory!$A$3:$A$253,0))),"")</f>
        <v/>
      </c>
      <c r="H42" s="11" t="str">
        <f aca="false">IF($D42="","",$D42*IFERROR($G42+0,0))</f>
        <v/>
      </c>
      <c r="I42" s="11"/>
      <c r="J42" s="11"/>
      <c r="K42" s="11" t="str">
        <f aca="false">IF($F42="","",$F42-$I42-$J42)</f>
        <v/>
      </c>
      <c r="L42" s="11" t="str">
        <f aca="false">IF($K42="","",$K42-$H42)</f>
        <v/>
      </c>
      <c r="M42" s="12" t="str">
        <f aca="false">IF(OR($F42="",$F42=0),"",$L42/$F42)</f>
        <v/>
      </c>
      <c r="N42" s="14"/>
      <c r="O42" s="14"/>
      <c r="P42" s="14"/>
      <c r="Q42" s="14"/>
    </row>
    <row r="43" customFormat="false" ht="15" hidden="false" customHeight="false" outlineLevel="0" collapsed="false">
      <c r="A43" s="16"/>
      <c r="B43" s="14"/>
      <c r="C43" s="14" t="str">
        <f aca="false">IFERROR(IF($B43="","",INDEX(Inventory!$B$3:$B$253,MATCH($B43,Inventory!$A$3:$A$253,0))),"")</f>
        <v/>
      </c>
      <c r="D43" s="15"/>
      <c r="E43" s="11"/>
      <c r="F43" s="11" t="str">
        <f aca="false">IF($D43="","",$D43*$E43)</f>
        <v/>
      </c>
      <c r="G43" s="11" t="str">
        <f aca="false">IFERROR(IF($B43="","",INDEX(Inventory!$G$3:$G$253,MATCH($B43,Inventory!$A$3:$A$253,0))),"")</f>
        <v/>
      </c>
      <c r="H43" s="11" t="str">
        <f aca="false">IF($D43="","",$D43*IFERROR($G43+0,0))</f>
        <v/>
      </c>
      <c r="I43" s="11"/>
      <c r="J43" s="11"/>
      <c r="K43" s="11" t="str">
        <f aca="false">IF($F43="","",$F43-$I43-$J43)</f>
        <v/>
      </c>
      <c r="L43" s="11" t="str">
        <f aca="false">IF($K43="","",$K43-$H43)</f>
        <v/>
      </c>
      <c r="M43" s="12" t="str">
        <f aca="false">IF(OR($F43="",$F43=0),"",$L43/$F43)</f>
        <v/>
      </c>
      <c r="N43" s="14"/>
      <c r="O43" s="14"/>
      <c r="P43" s="14"/>
      <c r="Q43" s="14"/>
    </row>
    <row r="44" customFormat="false" ht="15" hidden="false" customHeight="false" outlineLevel="0" collapsed="false">
      <c r="A44" s="16"/>
      <c r="B44" s="14"/>
      <c r="C44" s="14" t="str">
        <f aca="false">IFERROR(IF($B44="","",INDEX(Inventory!$B$3:$B$253,MATCH($B44,Inventory!$A$3:$A$253,0))),"")</f>
        <v/>
      </c>
      <c r="D44" s="15"/>
      <c r="E44" s="11"/>
      <c r="F44" s="11" t="str">
        <f aca="false">IF($D44="","",$D44*$E44)</f>
        <v/>
      </c>
      <c r="G44" s="11" t="str">
        <f aca="false">IFERROR(IF($B44="","",INDEX(Inventory!$G$3:$G$253,MATCH($B44,Inventory!$A$3:$A$253,0))),"")</f>
        <v/>
      </c>
      <c r="H44" s="11" t="str">
        <f aca="false">IF($D44="","",$D44*IFERROR($G44+0,0))</f>
        <v/>
      </c>
      <c r="I44" s="11"/>
      <c r="J44" s="11"/>
      <c r="K44" s="11" t="str">
        <f aca="false">IF($F44="","",$F44-$I44-$J44)</f>
        <v/>
      </c>
      <c r="L44" s="11" t="str">
        <f aca="false">IF($K44="","",$K44-$H44)</f>
        <v/>
      </c>
      <c r="M44" s="12" t="str">
        <f aca="false">IF(OR($F44="",$F44=0),"",$L44/$F44)</f>
        <v/>
      </c>
      <c r="N44" s="14"/>
      <c r="O44" s="14"/>
      <c r="P44" s="14"/>
      <c r="Q44" s="14"/>
    </row>
    <row r="45" customFormat="false" ht="15" hidden="false" customHeight="false" outlineLevel="0" collapsed="false">
      <c r="A45" s="16"/>
      <c r="B45" s="14"/>
      <c r="C45" s="14" t="str">
        <f aca="false">IFERROR(IF($B45="","",INDEX(Inventory!$B$3:$B$253,MATCH($B45,Inventory!$A$3:$A$253,0))),"")</f>
        <v/>
      </c>
      <c r="D45" s="15"/>
      <c r="E45" s="11"/>
      <c r="F45" s="11" t="str">
        <f aca="false">IF($D45="","",$D45*$E45)</f>
        <v/>
      </c>
      <c r="G45" s="11" t="str">
        <f aca="false">IFERROR(IF($B45="","",INDEX(Inventory!$G$3:$G$253,MATCH($B45,Inventory!$A$3:$A$253,0))),"")</f>
        <v/>
      </c>
      <c r="H45" s="11" t="str">
        <f aca="false">IF($D45="","",$D45*IFERROR($G45+0,0))</f>
        <v/>
      </c>
      <c r="I45" s="11"/>
      <c r="J45" s="11"/>
      <c r="K45" s="11" t="str">
        <f aca="false">IF($F45="","",$F45-$I45-$J45)</f>
        <v/>
      </c>
      <c r="L45" s="11" t="str">
        <f aca="false">IF($K45="","",$K45-$H45)</f>
        <v/>
      </c>
      <c r="M45" s="12" t="str">
        <f aca="false">IF(OR($F45="",$F45=0),"",$L45/$F45)</f>
        <v/>
      </c>
      <c r="N45" s="14"/>
      <c r="O45" s="14"/>
      <c r="P45" s="14"/>
      <c r="Q45" s="14"/>
    </row>
    <row r="46" customFormat="false" ht="15" hidden="false" customHeight="false" outlineLevel="0" collapsed="false">
      <c r="A46" s="16"/>
      <c r="B46" s="14"/>
      <c r="C46" s="14" t="str">
        <f aca="false">IFERROR(IF($B46="","",INDEX(Inventory!$B$3:$B$253,MATCH($B46,Inventory!$A$3:$A$253,0))),"")</f>
        <v/>
      </c>
      <c r="D46" s="15"/>
      <c r="E46" s="11"/>
      <c r="F46" s="11" t="str">
        <f aca="false">IF($D46="","",$D46*$E46)</f>
        <v/>
      </c>
      <c r="G46" s="11" t="str">
        <f aca="false">IFERROR(IF($B46="","",INDEX(Inventory!$G$3:$G$253,MATCH($B46,Inventory!$A$3:$A$253,0))),"")</f>
        <v/>
      </c>
      <c r="H46" s="11" t="str">
        <f aca="false">IF($D46="","",$D46*IFERROR($G46+0,0))</f>
        <v/>
      </c>
      <c r="I46" s="11"/>
      <c r="J46" s="11"/>
      <c r="K46" s="11" t="str">
        <f aca="false">IF($F46="","",$F46-$I46-$J46)</f>
        <v/>
      </c>
      <c r="L46" s="11" t="str">
        <f aca="false">IF($K46="","",$K46-$H46)</f>
        <v/>
      </c>
      <c r="M46" s="12" t="str">
        <f aca="false">IF(OR($F46="",$F46=0),"",$L46/$F46)</f>
        <v/>
      </c>
      <c r="N46" s="14"/>
      <c r="O46" s="14"/>
      <c r="P46" s="14"/>
      <c r="Q46" s="14"/>
    </row>
    <row r="47" customFormat="false" ht="15" hidden="false" customHeight="false" outlineLevel="0" collapsed="false">
      <c r="A47" s="16"/>
      <c r="B47" s="14"/>
      <c r="C47" s="14" t="str">
        <f aca="false">IFERROR(IF($B47="","",INDEX(Inventory!$B$3:$B$253,MATCH($B47,Inventory!$A$3:$A$253,0))),"")</f>
        <v/>
      </c>
      <c r="D47" s="15"/>
      <c r="E47" s="11"/>
      <c r="F47" s="11" t="str">
        <f aca="false">IF($D47="","",$D47*$E47)</f>
        <v/>
      </c>
      <c r="G47" s="11" t="str">
        <f aca="false">IFERROR(IF($B47="","",INDEX(Inventory!$G$3:$G$253,MATCH($B47,Inventory!$A$3:$A$253,0))),"")</f>
        <v/>
      </c>
      <c r="H47" s="11" t="str">
        <f aca="false">IF($D47="","",$D47*IFERROR($G47+0,0))</f>
        <v/>
      </c>
      <c r="I47" s="11"/>
      <c r="J47" s="11"/>
      <c r="K47" s="11" t="str">
        <f aca="false">IF($F47="","",$F47-$I47-$J47)</f>
        <v/>
      </c>
      <c r="L47" s="11" t="str">
        <f aca="false">IF($K47="","",$K47-$H47)</f>
        <v/>
      </c>
      <c r="M47" s="12" t="str">
        <f aca="false">IF(OR($F47="",$F47=0),"",$L47/$F47)</f>
        <v/>
      </c>
      <c r="N47" s="14"/>
      <c r="O47" s="14"/>
      <c r="P47" s="14"/>
      <c r="Q47" s="14"/>
    </row>
    <row r="48" customFormat="false" ht="15" hidden="false" customHeight="false" outlineLevel="0" collapsed="false">
      <c r="A48" s="16"/>
      <c r="B48" s="14"/>
      <c r="C48" s="14" t="str">
        <f aca="false">IFERROR(IF($B48="","",INDEX(Inventory!$B$3:$B$253,MATCH($B48,Inventory!$A$3:$A$253,0))),"")</f>
        <v/>
      </c>
      <c r="D48" s="15"/>
      <c r="E48" s="11"/>
      <c r="F48" s="11" t="str">
        <f aca="false">IF($D48="","",$D48*$E48)</f>
        <v/>
      </c>
      <c r="G48" s="11" t="str">
        <f aca="false">IFERROR(IF($B48="","",INDEX(Inventory!$G$3:$G$253,MATCH($B48,Inventory!$A$3:$A$253,0))),"")</f>
        <v/>
      </c>
      <c r="H48" s="11" t="str">
        <f aca="false">IF($D48="","",$D48*IFERROR($G48+0,0))</f>
        <v/>
      </c>
      <c r="I48" s="11"/>
      <c r="J48" s="11"/>
      <c r="K48" s="11" t="str">
        <f aca="false">IF($F48="","",$F48-$I48-$J48)</f>
        <v/>
      </c>
      <c r="L48" s="11" t="str">
        <f aca="false">IF($K48="","",$K48-$H48)</f>
        <v/>
      </c>
      <c r="M48" s="12" t="str">
        <f aca="false">IF(OR($F48="",$F48=0),"",$L48/$F48)</f>
        <v/>
      </c>
      <c r="N48" s="14"/>
      <c r="O48" s="14"/>
      <c r="P48" s="14"/>
      <c r="Q48" s="14"/>
    </row>
    <row r="49" customFormat="false" ht="15" hidden="false" customHeight="false" outlineLevel="0" collapsed="false">
      <c r="A49" s="16"/>
      <c r="B49" s="14"/>
      <c r="C49" s="14" t="str">
        <f aca="false">IFERROR(IF($B49="","",INDEX(Inventory!$B$3:$B$253,MATCH($B49,Inventory!$A$3:$A$253,0))),"")</f>
        <v/>
      </c>
      <c r="D49" s="15"/>
      <c r="E49" s="11"/>
      <c r="F49" s="11" t="str">
        <f aca="false">IF($D49="","",$D49*$E49)</f>
        <v/>
      </c>
      <c r="G49" s="11" t="str">
        <f aca="false">IFERROR(IF($B49="","",INDEX(Inventory!$G$3:$G$253,MATCH($B49,Inventory!$A$3:$A$253,0))),"")</f>
        <v/>
      </c>
      <c r="H49" s="11" t="str">
        <f aca="false">IF($D49="","",$D49*IFERROR($G49+0,0))</f>
        <v/>
      </c>
      <c r="I49" s="11"/>
      <c r="J49" s="11"/>
      <c r="K49" s="11" t="str">
        <f aca="false">IF($F49="","",$F49-$I49-$J49)</f>
        <v/>
      </c>
      <c r="L49" s="11" t="str">
        <f aca="false">IF($K49="","",$K49-$H49)</f>
        <v/>
      </c>
      <c r="M49" s="12" t="str">
        <f aca="false">IF(OR($F49="",$F49=0),"",$L49/$F49)</f>
        <v/>
      </c>
      <c r="N49" s="14"/>
      <c r="O49" s="14"/>
      <c r="P49" s="14"/>
      <c r="Q49" s="14"/>
    </row>
    <row r="50" customFormat="false" ht="15" hidden="false" customHeight="false" outlineLevel="0" collapsed="false">
      <c r="A50" s="16"/>
      <c r="B50" s="14"/>
      <c r="C50" s="14" t="str">
        <f aca="false">IFERROR(IF($B50="","",INDEX(Inventory!$B$3:$B$253,MATCH($B50,Inventory!$A$3:$A$253,0))),"")</f>
        <v/>
      </c>
      <c r="D50" s="15"/>
      <c r="E50" s="11"/>
      <c r="F50" s="11" t="str">
        <f aca="false">IF($D50="","",$D50*$E50)</f>
        <v/>
      </c>
      <c r="G50" s="11" t="str">
        <f aca="false">IFERROR(IF($B50="","",INDEX(Inventory!$G$3:$G$253,MATCH($B50,Inventory!$A$3:$A$253,0))),"")</f>
        <v/>
      </c>
      <c r="H50" s="11" t="str">
        <f aca="false">IF($D50="","",$D50*IFERROR($G50+0,0))</f>
        <v/>
      </c>
      <c r="I50" s="11"/>
      <c r="J50" s="11"/>
      <c r="K50" s="11" t="str">
        <f aca="false">IF($F50="","",$F50-$I50-$J50)</f>
        <v/>
      </c>
      <c r="L50" s="11" t="str">
        <f aca="false">IF($K50="","",$K50-$H50)</f>
        <v/>
      </c>
      <c r="M50" s="12" t="str">
        <f aca="false">IF(OR($F50="",$F50=0),"",$L50/$F50)</f>
        <v/>
      </c>
      <c r="N50" s="14"/>
      <c r="O50" s="14"/>
      <c r="P50" s="14"/>
      <c r="Q50" s="14"/>
    </row>
    <row r="51" customFormat="false" ht="15" hidden="false" customHeight="false" outlineLevel="0" collapsed="false">
      <c r="A51" s="16"/>
      <c r="B51" s="14"/>
      <c r="C51" s="14" t="str">
        <f aca="false">IFERROR(IF($B51="","",INDEX(Inventory!$B$3:$B$253,MATCH($B51,Inventory!$A$3:$A$253,0))),"")</f>
        <v/>
      </c>
      <c r="D51" s="15"/>
      <c r="E51" s="11"/>
      <c r="F51" s="11" t="str">
        <f aca="false">IF($D51="","",$D51*$E51)</f>
        <v/>
      </c>
      <c r="G51" s="11" t="str">
        <f aca="false">IFERROR(IF($B51="","",INDEX(Inventory!$G$3:$G$253,MATCH($B51,Inventory!$A$3:$A$253,0))),"")</f>
        <v/>
      </c>
      <c r="H51" s="11" t="str">
        <f aca="false">IF($D51="","",$D51*IFERROR($G51+0,0))</f>
        <v/>
      </c>
      <c r="I51" s="11"/>
      <c r="J51" s="11"/>
      <c r="K51" s="11" t="str">
        <f aca="false">IF($F51="","",$F51-$I51-$J51)</f>
        <v/>
      </c>
      <c r="L51" s="11" t="str">
        <f aca="false">IF($K51="","",$K51-$H51)</f>
        <v/>
      </c>
      <c r="M51" s="12" t="str">
        <f aca="false">IF(OR($F51="",$F51=0),"",$L51/$F51)</f>
        <v/>
      </c>
      <c r="N51" s="14"/>
      <c r="O51" s="14"/>
      <c r="P51" s="14"/>
      <c r="Q51" s="14"/>
    </row>
    <row r="52" customFormat="false" ht="15" hidden="false" customHeight="false" outlineLevel="0" collapsed="false">
      <c r="A52" s="16"/>
      <c r="B52" s="14"/>
      <c r="C52" s="14" t="str">
        <f aca="false">IFERROR(IF($B52="","",INDEX(Inventory!$B$3:$B$253,MATCH($B52,Inventory!$A$3:$A$253,0))),"")</f>
        <v/>
      </c>
      <c r="D52" s="15"/>
      <c r="E52" s="11"/>
      <c r="F52" s="11" t="str">
        <f aca="false">IF($D52="","",$D52*$E52)</f>
        <v/>
      </c>
      <c r="G52" s="11" t="str">
        <f aca="false">IFERROR(IF($B52="","",INDEX(Inventory!$G$3:$G$253,MATCH($B52,Inventory!$A$3:$A$253,0))),"")</f>
        <v/>
      </c>
      <c r="H52" s="11" t="str">
        <f aca="false">IF($D52="","",$D52*IFERROR($G52+0,0))</f>
        <v/>
      </c>
      <c r="I52" s="11"/>
      <c r="J52" s="11"/>
      <c r="K52" s="11" t="str">
        <f aca="false">IF($F52="","",$F52-$I52-$J52)</f>
        <v/>
      </c>
      <c r="L52" s="11" t="str">
        <f aca="false">IF($K52="","",$K52-$H52)</f>
        <v/>
      </c>
      <c r="M52" s="12" t="str">
        <f aca="false">IF(OR($F52="",$F52=0),"",$L52/$F52)</f>
        <v/>
      </c>
      <c r="N52" s="14"/>
      <c r="O52" s="14"/>
      <c r="P52" s="14"/>
      <c r="Q52" s="14"/>
    </row>
    <row r="53" customFormat="false" ht="15" hidden="false" customHeight="false" outlineLevel="0" collapsed="false">
      <c r="A53" s="16"/>
      <c r="B53" s="14"/>
      <c r="C53" s="14" t="str">
        <f aca="false">IFERROR(IF($B53="","",INDEX(Inventory!$B$3:$B$253,MATCH($B53,Inventory!$A$3:$A$253,0))),"")</f>
        <v/>
      </c>
      <c r="D53" s="15"/>
      <c r="E53" s="11"/>
      <c r="F53" s="11" t="str">
        <f aca="false">IF($D53="","",$D53*$E53)</f>
        <v/>
      </c>
      <c r="G53" s="11" t="str">
        <f aca="false">IFERROR(IF($B53="","",INDEX(Inventory!$G$3:$G$253,MATCH($B53,Inventory!$A$3:$A$253,0))),"")</f>
        <v/>
      </c>
      <c r="H53" s="11" t="str">
        <f aca="false">IF($D53="","",$D53*IFERROR($G53+0,0))</f>
        <v/>
      </c>
      <c r="I53" s="11"/>
      <c r="J53" s="11"/>
      <c r="K53" s="11" t="str">
        <f aca="false">IF($F53="","",$F53-$I53-$J53)</f>
        <v/>
      </c>
      <c r="L53" s="11" t="str">
        <f aca="false">IF($K53="","",$K53-$H53)</f>
        <v/>
      </c>
      <c r="M53" s="12" t="str">
        <f aca="false">IF(OR($F53="",$F53=0),"",$L53/$F53)</f>
        <v/>
      </c>
      <c r="N53" s="14"/>
      <c r="O53" s="14"/>
      <c r="P53" s="14"/>
      <c r="Q53" s="14"/>
    </row>
    <row r="54" customFormat="false" ht="15" hidden="false" customHeight="false" outlineLevel="0" collapsed="false">
      <c r="A54" s="16"/>
      <c r="B54" s="14"/>
      <c r="C54" s="14" t="str">
        <f aca="false">IFERROR(IF($B54="","",INDEX(Inventory!$B$3:$B$253,MATCH($B54,Inventory!$A$3:$A$253,0))),"")</f>
        <v/>
      </c>
      <c r="D54" s="15"/>
      <c r="E54" s="11"/>
      <c r="F54" s="11" t="str">
        <f aca="false">IF($D54="","",$D54*$E54)</f>
        <v/>
      </c>
      <c r="G54" s="11" t="str">
        <f aca="false">IFERROR(IF($B54="","",INDEX(Inventory!$G$3:$G$253,MATCH($B54,Inventory!$A$3:$A$253,0))),"")</f>
        <v/>
      </c>
      <c r="H54" s="11" t="str">
        <f aca="false">IF($D54="","",$D54*IFERROR($G54+0,0))</f>
        <v/>
      </c>
      <c r="I54" s="11"/>
      <c r="J54" s="11"/>
      <c r="K54" s="11" t="str">
        <f aca="false">IF($F54="","",$F54-$I54-$J54)</f>
        <v/>
      </c>
      <c r="L54" s="11" t="str">
        <f aca="false">IF($K54="","",$K54-$H54)</f>
        <v/>
      </c>
      <c r="M54" s="12" t="str">
        <f aca="false">IF(OR($F54="",$F54=0),"",$L54/$F54)</f>
        <v/>
      </c>
      <c r="N54" s="14"/>
      <c r="O54" s="14"/>
      <c r="P54" s="14"/>
      <c r="Q54" s="14"/>
    </row>
    <row r="55" customFormat="false" ht="15" hidden="false" customHeight="false" outlineLevel="0" collapsed="false">
      <c r="A55" s="16"/>
      <c r="B55" s="14"/>
      <c r="C55" s="14" t="str">
        <f aca="false">IFERROR(IF($B55="","",INDEX(Inventory!$B$3:$B$253,MATCH($B55,Inventory!$A$3:$A$253,0))),"")</f>
        <v/>
      </c>
      <c r="D55" s="15"/>
      <c r="E55" s="11"/>
      <c r="F55" s="11" t="str">
        <f aca="false">IF($D55="","",$D55*$E55)</f>
        <v/>
      </c>
      <c r="G55" s="11" t="str">
        <f aca="false">IFERROR(IF($B55="","",INDEX(Inventory!$G$3:$G$253,MATCH($B55,Inventory!$A$3:$A$253,0))),"")</f>
        <v/>
      </c>
      <c r="H55" s="11" t="str">
        <f aca="false">IF($D55="","",$D55*IFERROR($G55+0,0))</f>
        <v/>
      </c>
      <c r="I55" s="11"/>
      <c r="J55" s="11"/>
      <c r="K55" s="11" t="str">
        <f aca="false">IF($F55="","",$F55-$I55-$J55)</f>
        <v/>
      </c>
      <c r="L55" s="11" t="str">
        <f aca="false">IF($K55="","",$K55-$H55)</f>
        <v/>
      </c>
      <c r="M55" s="12" t="str">
        <f aca="false">IF(OR($F55="",$F55=0),"",$L55/$F55)</f>
        <v/>
      </c>
      <c r="N55" s="14"/>
      <c r="O55" s="14"/>
      <c r="P55" s="14"/>
      <c r="Q55" s="14"/>
    </row>
    <row r="56" customFormat="false" ht="15" hidden="false" customHeight="false" outlineLevel="0" collapsed="false">
      <c r="A56" s="16"/>
      <c r="B56" s="14"/>
      <c r="C56" s="14" t="str">
        <f aca="false">IFERROR(IF($B56="","",INDEX(Inventory!$B$3:$B$253,MATCH($B56,Inventory!$A$3:$A$253,0))),"")</f>
        <v/>
      </c>
      <c r="D56" s="15"/>
      <c r="E56" s="11"/>
      <c r="F56" s="11" t="str">
        <f aca="false">IF($D56="","",$D56*$E56)</f>
        <v/>
      </c>
      <c r="G56" s="11" t="str">
        <f aca="false">IFERROR(IF($B56="","",INDEX(Inventory!$G$3:$G$253,MATCH($B56,Inventory!$A$3:$A$253,0))),"")</f>
        <v/>
      </c>
      <c r="H56" s="11" t="str">
        <f aca="false">IF($D56="","",$D56*IFERROR($G56+0,0))</f>
        <v/>
      </c>
      <c r="I56" s="11"/>
      <c r="J56" s="11"/>
      <c r="K56" s="11" t="str">
        <f aca="false">IF($F56="","",$F56-$I56-$J56)</f>
        <v/>
      </c>
      <c r="L56" s="11" t="str">
        <f aca="false">IF($K56="","",$K56-$H56)</f>
        <v/>
      </c>
      <c r="M56" s="12" t="str">
        <f aca="false">IF(OR($F56="",$F56=0),"",$L56/$F56)</f>
        <v/>
      </c>
      <c r="N56" s="14"/>
      <c r="O56" s="14"/>
      <c r="P56" s="14"/>
      <c r="Q56" s="14"/>
    </row>
    <row r="57" customFormat="false" ht="15" hidden="false" customHeight="false" outlineLevel="0" collapsed="false">
      <c r="A57" s="16"/>
      <c r="B57" s="14"/>
      <c r="C57" s="14" t="str">
        <f aca="false">IFERROR(IF($B57="","",INDEX(Inventory!$B$3:$B$253,MATCH($B57,Inventory!$A$3:$A$253,0))),"")</f>
        <v/>
      </c>
      <c r="D57" s="15"/>
      <c r="E57" s="11"/>
      <c r="F57" s="11" t="str">
        <f aca="false">IF($D57="","",$D57*$E57)</f>
        <v/>
      </c>
      <c r="G57" s="11" t="str">
        <f aca="false">IFERROR(IF($B57="","",INDEX(Inventory!$G$3:$G$253,MATCH($B57,Inventory!$A$3:$A$253,0))),"")</f>
        <v/>
      </c>
      <c r="H57" s="11" t="str">
        <f aca="false">IF($D57="","",$D57*IFERROR($G57+0,0))</f>
        <v/>
      </c>
      <c r="I57" s="11"/>
      <c r="J57" s="11"/>
      <c r="K57" s="11" t="str">
        <f aca="false">IF($F57="","",$F57-$I57-$J57)</f>
        <v/>
      </c>
      <c r="L57" s="11" t="str">
        <f aca="false">IF($K57="","",$K57-$H57)</f>
        <v/>
      </c>
      <c r="M57" s="12" t="str">
        <f aca="false">IF(OR($F57="",$F57=0),"",$L57/$F57)</f>
        <v/>
      </c>
      <c r="N57" s="14"/>
      <c r="O57" s="14"/>
      <c r="P57" s="14"/>
      <c r="Q57" s="14"/>
    </row>
    <row r="58" customFormat="false" ht="15" hidden="false" customHeight="false" outlineLevel="0" collapsed="false">
      <c r="A58" s="16"/>
      <c r="B58" s="14"/>
      <c r="C58" s="14" t="str">
        <f aca="false">IFERROR(IF($B58="","",INDEX(Inventory!$B$3:$B$253,MATCH($B58,Inventory!$A$3:$A$253,0))),"")</f>
        <v/>
      </c>
      <c r="D58" s="15"/>
      <c r="E58" s="11"/>
      <c r="F58" s="11" t="str">
        <f aca="false">IF($D58="","",$D58*$E58)</f>
        <v/>
      </c>
      <c r="G58" s="11" t="str">
        <f aca="false">IFERROR(IF($B58="","",INDEX(Inventory!$G$3:$G$253,MATCH($B58,Inventory!$A$3:$A$253,0))),"")</f>
        <v/>
      </c>
      <c r="H58" s="11" t="str">
        <f aca="false">IF($D58="","",$D58*IFERROR($G58+0,0))</f>
        <v/>
      </c>
      <c r="I58" s="11"/>
      <c r="J58" s="11"/>
      <c r="K58" s="11" t="str">
        <f aca="false">IF($F58="","",$F58-$I58-$J58)</f>
        <v/>
      </c>
      <c r="L58" s="11" t="str">
        <f aca="false">IF($K58="","",$K58-$H58)</f>
        <v/>
      </c>
      <c r="M58" s="12" t="str">
        <f aca="false">IF(OR($F58="",$F58=0),"",$L58/$F58)</f>
        <v/>
      </c>
      <c r="N58" s="14"/>
      <c r="O58" s="14"/>
      <c r="P58" s="14"/>
      <c r="Q58" s="14"/>
    </row>
    <row r="59" customFormat="false" ht="15" hidden="false" customHeight="false" outlineLevel="0" collapsed="false">
      <c r="A59" s="16"/>
      <c r="B59" s="14"/>
      <c r="C59" s="14" t="str">
        <f aca="false">IFERROR(IF($B59="","",INDEX(Inventory!$B$3:$B$253,MATCH($B59,Inventory!$A$3:$A$253,0))),"")</f>
        <v/>
      </c>
      <c r="D59" s="15"/>
      <c r="E59" s="11"/>
      <c r="F59" s="11" t="str">
        <f aca="false">IF($D59="","",$D59*$E59)</f>
        <v/>
      </c>
      <c r="G59" s="11" t="str">
        <f aca="false">IFERROR(IF($B59="","",INDEX(Inventory!$G$3:$G$253,MATCH($B59,Inventory!$A$3:$A$253,0))),"")</f>
        <v/>
      </c>
      <c r="H59" s="11" t="str">
        <f aca="false">IF($D59="","",$D59*IFERROR($G59+0,0))</f>
        <v/>
      </c>
      <c r="I59" s="11"/>
      <c r="J59" s="11"/>
      <c r="K59" s="11" t="str">
        <f aca="false">IF($F59="","",$F59-$I59-$J59)</f>
        <v/>
      </c>
      <c r="L59" s="11" t="str">
        <f aca="false">IF($K59="","",$K59-$H59)</f>
        <v/>
      </c>
      <c r="M59" s="12" t="str">
        <f aca="false">IF(OR($F59="",$F59=0),"",$L59/$F59)</f>
        <v/>
      </c>
      <c r="N59" s="14"/>
      <c r="O59" s="14"/>
      <c r="P59" s="14"/>
      <c r="Q59" s="14"/>
    </row>
    <row r="60" customFormat="false" ht="15" hidden="false" customHeight="false" outlineLevel="0" collapsed="false">
      <c r="A60" s="16"/>
      <c r="B60" s="14"/>
      <c r="C60" s="14" t="str">
        <f aca="false">IFERROR(IF($B60="","",INDEX(Inventory!$B$3:$B$253,MATCH($B60,Inventory!$A$3:$A$253,0))),"")</f>
        <v/>
      </c>
      <c r="D60" s="15"/>
      <c r="E60" s="11"/>
      <c r="F60" s="11" t="str">
        <f aca="false">IF($D60="","",$D60*$E60)</f>
        <v/>
      </c>
      <c r="G60" s="11" t="str">
        <f aca="false">IFERROR(IF($B60="","",INDEX(Inventory!$G$3:$G$253,MATCH($B60,Inventory!$A$3:$A$253,0))),"")</f>
        <v/>
      </c>
      <c r="H60" s="11" t="str">
        <f aca="false">IF($D60="","",$D60*IFERROR($G60+0,0))</f>
        <v/>
      </c>
      <c r="I60" s="11"/>
      <c r="J60" s="11"/>
      <c r="K60" s="11" t="str">
        <f aca="false">IF($F60="","",$F60-$I60-$J60)</f>
        <v/>
      </c>
      <c r="L60" s="11" t="str">
        <f aca="false">IF($K60="","",$K60-$H60)</f>
        <v/>
      </c>
      <c r="M60" s="12" t="str">
        <f aca="false">IF(OR($F60="",$F60=0),"",$L60/$F60)</f>
        <v/>
      </c>
      <c r="N60" s="14"/>
      <c r="O60" s="14"/>
      <c r="P60" s="14"/>
      <c r="Q60" s="14"/>
    </row>
    <row r="61" customFormat="false" ht="15" hidden="false" customHeight="false" outlineLevel="0" collapsed="false">
      <c r="A61" s="16"/>
      <c r="B61" s="14"/>
      <c r="C61" s="14" t="str">
        <f aca="false">IFERROR(IF($B61="","",INDEX(Inventory!$B$3:$B$253,MATCH($B61,Inventory!$A$3:$A$253,0))),"")</f>
        <v/>
      </c>
      <c r="D61" s="15"/>
      <c r="E61" s="11"/>
      <c r="F61" s="11" t="str">
        <f aca="false">IF($D61="","",$D61*$E61)</f>
        <v/>
      </c>
      <c r="G61" s="11" t="str">
        <f aca="false">IFERROR(IF($B61="","",INDEX(Inventory!$G$3:$G$253,MATCH($B61,Inventory!$A$3:$A$253,0))),"")</f>
        <v/>
      </c>
      <c r="H61" s="11" t="str">
        <f aca="false">IF($D61="","",$D61*IFERROR($G61+0,0))</f>
        <v/>
      </c>
      <c r="I61" s="11"/>
      <c r="J61" s="11"/>
      <c r="K61" s="11" t="str">
        <f aca="false">IF($F61="","",$F61-$I61-$J61)</f>
        <v/>
      </c>
      <c r="L61" s="11" t="str">
        <f aca="false">IF($K61="","",$K61-$H61)</f>
        <v/>
      </c>
      <c r="M61" s="12" t="str">
        <f aca="false">IF(OR($F61="",$F61=0),"",$L61/$F61)</f>
        <v/>
      </c>
      <c r="N61" s="14"/>
      <c r="O61" s="14"/>
      <c r="P61" s="14"/>
      <c r="Q61" s="14"/>
    </row>
    <row r="62" customFormat="false" ht="15" hidden="false" customHeight="false" outlineLevel="0" collapsed="false">
      <c r="A62" s="16"/>
      <c r="B62" s="14"/>
      <c r="C62" s="14" t="str">
        <f aca="false">IFERROR(IF($B62="","",INDEX(Inventory!$B$3:$B$253,MATCH($B62,Inventory!$A$3:$A$253,0))),"")</f>
        <v/>
      </c>
      <c r="D62" s="15"/>
      <c r="E62" s="11"/>
      <c r="F62" s="11" t="str">
        <f aca="false">IF($D62="","",$D62*$E62)</f>
        <v/>
      </c>
      <c r="G62" s="11" t="str">
        <f aca="false">IFERROR(IF($B62="","",INDEX(Inventory!$G$3:$G$253,MATCH($B62,Inventory!$A$3:$A$253,0))),"")</f>
        <v/>
      </c>
      <c r="H62" s="11" t="str">
        <f aca="false">IF($D62="","",$D62*IFERROR($G62+0,0))</f>
        <v/>
      </c>
      <c r="I62" s="11"/>
      <c r="J62" s="11"/>
      <c r="K62" s="11" t="str">
        <f aca="false">IF($F62="","",$F62-$I62-$J62)</f>
        <v/>
      </c>
      <c r="L62" s="11" t="str">
        <f aca="false">IF($K62="","",$K62-$H62)</f>
        <v/>
      </c>
      <c r="M62" s="12" t="str">
        <f aca="false">IF(OR($F62="",$F62=0),"",$L62/$F62)</f>
        <v/>
      </c>
      <c r="N62" s="14"/>
      <c r="O62" s="14"/>
      <c r="P62" s="14"/>
      <c r="Q62" s="14"/>
    </row>
    <row r="63" customFormat="false" ht="15" hidden="false" customHeight="false" outlineLevel="0" collapsed="false">
      <c r="A63" s="16"/>
      <c r="B63" s="14"/>
      <c r="C63" s="14" t="str">
        <f aca="false">IFERROR(IF($B63="","",INDEX(Inventory!$B$3:$B$253,MATCH($B63,Inventory!$A$3:$A$253,0))),"")</f>
        <v/>
      </c>
      <c r="D63" s="15"/>
      <c r="E63" s="11"/>
      <c r="F63" s="11" t="str">
        <f aca="false">IF($D63="","",$D63*$E63)</f>
        <v/>
      </c>
      <c r="G63" s="11" t="str">
        <f aca="false">IFERROR(IF($B63="","",INDEX(Inventory!$G$3:$G$253,MATCH($B63,Inventory!$A$3:$A$253,0))),"")</f>
        <v/>
      </c>
      <c r="H63" s="11" t="str">
        <f aca="false">IF($D63="","",$D63*IFERROR($G63+0,0))</f>
        <v/>
      </c>
      <c r="I63" s="11"/>
      <c r="J63" s="11"/>
      <c r="K63" s="11" t="str">
        <f aca="false">IF($F63="","",$F63-$I63-$J63)</f>
        <v/>
      </c>
      <c r="L63" s="11" t="str">
        <f aca="false">IF($K63="","",$K63-$H63)</f>
        <v/>
      </c>
      <c r="M63" s="12" t="str">
        <f aca="false">IF(OR($F63="",$F63=0),"",$L63/$F63)</f>
        <v/>
      </c>
      <c r="N63" s="14"/>
      <c r="O63" s="14"/>
      <c r="P63" s="14"/>
      <c r="Q63" s="14"/>
    </row>
    <row r="64" customFormat="false" ht="15" hidden="false" customHeight="false" outlineLevel="0" collapsed="false">
      <c r="A64" s="16"/>
      <c r="B64" s="14"/>
      <c r="C64" s="14" t="str">
        <f aca="false">IFERROR(IF($B64="","",INDEX(Inventory!$B$3:$B$253,MATCH($B64,Inventory!$A$3:$A$253,0))),"")</f>
        <v/>
      </c>
      <c r="D64" s="15"/>
      <c r="E64" s="11"/>
      <c r="F64" s="11" t="str">
        <f aca="false">IF($D64="","",$D64*$E64)</f>
        <v/>
      </c>
      <c r="G64" s="11" t="str">
        <f aca="false">IFERROR(IF($B64="","",INDEX(Inventory!$G$3:$G$253,MATCH($B64,Inventory!$A$3:$A$253,0))),"")</f>
        <v/>
      </c>
      <c r="H64" s="11" t="str">
        <f aca="false">IF($D64="","",$D64*IFERROR($G64+0,0))</f>
        <v/>
      </c>
      <c r="I64" s="11"/>
      <c r="J64" s="11"/>
      <c r="K64" s="11" t="str">
        <f aca="false">IF($F64="","",$F64-$I64-$J64)</f>
        <v/>
      </c>
      <c r="L64" s="11" t="str">
        <f aca="false">IF($K64="","",$K64-$H64)</f>
        <v/>
      </c>
      <c r="M64" s="12" t="str">
        <f aca="false">IF(OR($F64="",$F64=0),"",$L64/$F64)</f>
        <v/>
      </c>
      <c r="N64" s="14"/>
      <c r="O64" s="14"/>
      <c r="P64" s="14"/>
      <c r="Q64" s="14"/>
    </row>
    <row r="65" customFormat="false" ht="15" hidden="false" customHeight="false" outlineLevel="0" collapsed="false">
      <c r="A65" s="16"/>
      <c r="B65" s="14"/>
      <c r="C65" s="14" t="str">
        <f aca="false">IFERROR(IF($B65="","",INDEX(Inventory!$B$3:$B$253,MATCH($B65,Inventory!$A$3:$A$253,0))),"")</f>
        <v/>
      </c>
      <c r="D65" s="15"/>
      <c r="E65" s="11"/>
      <c r="F65" s="11" t="str">
        <f aca="false">IF($D65="","",$D65*$E65)</f>
        <v/>
      </c>
      <c r="G65" s="11" t="str">
        <f aca="false">IFERROR(IF($B65="","",INDEX(Inventory!$G$3:$G$253,MATCH($B65,Inventory!$A$3:$A$253,0))),"")</f>
        <v/>
      </c>
      <c r="H65" s="11" t="str">
        <f aca="false">IF($D65="","",$D65*IFERROR($G65+0,0))</f>
        <v/>
      </c>
      <c r="I65" s="11"/>
      <c r="J65" s="11"/>
      <c r="K65" s="11" t="str">
        <f aca="false">IF($F65="","",$F65-$I65-$J65)</f>
        <v/>
      </c>
      <c r="L65" s="11" t="str">
        <f aca="false">IF($K65="","",$K65-$H65)</f>
        <v/>
      </c>
      <c r="M65" s="12" t="str">
        <f aca="false">IF(OR($F65="",$F65=0),"",$L65/$F65)</f>
        <v/>
      </c>
      <c r="N65" s="14"/>
      <c r="O65" s="14"/>
      <c r="P65" s="14"/>
      <c r="Q65" s="14"/>
    </row>
    <row r="66" customFormat="false" ht="15" hidden="false" customHeight="false" outlineLevel="0" collapsed="false">
      <c r="A66" s="16"/>
      <c r="B66" s="14"/>
      <c r="C66" s="14" t="str">
        <f aca="false">IFERROR(IF($B66="","",INDEX(Inventory!$B$3:$B$253,MATCH($B66,Inventory!$A$3:$A$253,0))),"")</f>
        <v/>
      </c>
      <c r="D66" s="15"/>
      <c r="E66" s="11"/>
      <c r="F66" s="11" t="str">
        <f aca="false">IF($D66="","",$D66*$E66)</f>
        <v/>
      </c>
      <c r="G66" s="11" t="str">
        <f aca="false">IFERROR(IF($B66="","",INDEX(Inventory!$G$3:$G$253,MATCH($B66,Inventory!$A$3:$A$253,0))),"")</f>
        <v/>
      </c>
      <c r="H66" s="11" t="str">
        <f aca="false">IF($D66="","",$D66*IFERROR($G66+0,0))</f>
        <v/>
      </c>
      <c r="I66" s="11"/>
      <c r="J66" s="11"/>
      <c r="K66" s="11" t="str">
        <f aca="false">IF($F66="","",$F66-$I66-$J66)</f>
        <v/>
      </c>
      <c r="L66" s="11" t="str">
        <f aca="false">IF($K66="","",$K66-$H66)</f>
        <v/>
      </c>
      <c r="M66" s="12" t="str">
        <f aca="false">IF(OR($F66="",$F66=0),"",$L66/$F66)</f>
        <v/>
      </c>
      <c r="N66" s="14"/>
      <c r="O66" s="14"/>
      <c r="P66" s="14"/>
      <c r="Q66" s="14"/>
    </row>
    <row r="67" customFormat="false" ht="15" hidden="false" customHeight="false" outlineLevel="0" collapsed="false">
      <c r="A67" s="16"/>
      <c r="B67" s="14"/>
      <c r="C67" s="14" t="str">
        <f aca="false">IFERROR(IF($B67="","",INDEX(Inventory!$B$3:$B$253,MATCH($B67,Inventory!$A$3:$A$253,0))),"")</f>
        <v/>
      </c>
      <c r="D67" s="15"/>
      <c r="E67" s="11"/>
      <c r="F67" s="11" t="str">
        <f aca="false">IF($D67="","",$D67*$E67)</f>
        <v/>
      </c>
      <c r="G67" s="11" t="str">
        <f aca="false">IFERROR(IF($B67="","",INDEX(Inventory!$G$3:$G$253,MATCH($B67,Inventory!$A$3:$A$253,0))),"")</f>
        <v/>
      </c>
      <c r="H67" s="11" t="str">
        <f aca="false">IF($D67="","",$D67*IFERROR($G67+0,0))</f>
        <v/>
      </c>
      <c r="I67" s="11"/>
      <c r="J67" s="11"/>
      <c r="K67" s="11" t="str">
        <f aca="false">IF($F67="","",$F67-$I67-$J67)</f>
        <v/>
      </c>
      <c r="L67" s="11" t="str">
        <f aca="false">IF($K67="","",$K67-$H67)</f>
        <v/>
      </c>
      <c r="M67" s="12" t="str">
        <f aca="false">IF(OR($F67="",$F67=0),"",$L67/$F67)</f>
        <v/>
      </c>
      <c r="N67" s="14"/>
      <c r="O67" s="14"/>
      <c r="P67" s="14"/>
      <c r="Q67" s="14"/>
    </row>
    <row r="68" customFormat="false" ht="15" hidden="false" customHeight="false" outlineLevel="0" collapsed="false">
      <c r="A68" s="16"/>
      <c r="B68" s="14"/>
      <c r="C68" s="14" t="str">
        <f aca="false">IFERROR(IF($B68="","",INDEX(Inventory!$B$3:$B$253,MATCH($B68,Inventory!$A$3:$A$253,0))),"")</f>
        <v/>
      </c>
      <c r="D68" s="15"/>
      <c r="E68" s="11"/>
      <c r="F68" s="11" t="str">
        <f aca="false">IF($D68="","",$D68*$E68)</f>
        <v/>
      </c>
      <c r="G68" s="11" t="str">
        <f aca="false">IFERROR(IF($B68="","",INDEX(Inventory!$G$3:$G$253,MATCH($B68,Inventory!$A$3:$A$253,0))),"")</f>
        <v/>
      </c>
      <c r="H68" s="11" t="str">
        <f aca="false">IF($D68="","",$D68*IFERROR($G68+0,0))</f>
        <v/>
      </c>
      <c r="I68" s="11"/>
      <c r="J68" s="11"/>
      <c r="K68" s="11" t="str">
        <f aca="false">IF($F68="","",$F68-$I68-$J68)</f>
        <v/>
      </c>
      <c r="L68" s="11" t="str">
        <f aca="false">IF($K68="","",$K68-$H68)</f>
        <v/>
      </c>
      <c r="M68" s="12" t="str">
        <f aca="false">IF(OR($F68="",$F68=0),"",$L68/$F68)</f>
        <v/>
      </c>
      <c r="N68" s="14"/>
      <c r="O68" s="14"/>
      <c r="P68" s="14"/>
      <c r="Q68" s="14"/>
    </row>
    <row r="69" customFormat="false" ht="15" hidden="false" customHeight="false" outlineLevel="0" collapsed="false">
      <c r="A69" s="16"/>
      <c r="B69" s="14"/>
      <c r="C69" s="14" t="str">
        <f aca="false">IFERROR(IF($B69="","",INDEX(Inventory!$B$3:$B$253,MATCH($B69,Inventory!$A$3:$A$253,0))),"")</f>
        <v/>
      </c>
      <c r="D69" s="15"/>
      <c r="E69" s="11"/>
      <c r="F69" s="11" t="str">
        <f aca="false">IF($D69="","",$D69*$E69)</f>
        <v/>
      </c>
      <c r="G69" s="11" t="str">
        <f aca="false">IFERROR(IF($B69="","",INDEX(Inventory!$G$3:$G$253,MATCH($B69,Inventory!$A$3:$A$253,0))),"")</f>
        <v/>
      </c>
      <c r="H69" s="11" t="str">
        <f aca="false">IF($D69="","",$D69*IFERROR($G69+0,0))</f>
        <v/>
      </c>
      <c r="I69" s="11"/>
      <c r="J69" s="11"/>
      <c r="K69" s="11" t="str">
        <f aca="false">IF($F69="","",$F69-$I69-$J69)</f>
        <v/>
      </c>
      <c r="L69" s="11" t="str">
        <f aca="false">IF($K69="","",$K69-$H69)</f>
        <v/>
      </c>
      <c r="M69" s="12" t="str">
        <f aca="false">IF(OR($F69="",$F69=0),"",$L69/$F69)</f>
        <v/>
      </c>
      <c r="N69" s="14"/>
      <c r="O69" s="14"/>
      <c r="P69" s="14"/>
      <c r="Q69" s="14"/>
    </row>
    <row r="70" customFormat="false" ht="15" hidden="false" customHeight="false" outlineLevel="0" collapsed="false">
      <c r="A70" s="16"/>
      <c r="B70" s="14"/>
      <c r="C70" s="14" t="str">
        <f aca="false">IFERROR(IF($B70="","",INDEX(Inventory!$B$3:$B$253,MATCH($B70,Inventory!$A$3:$A$253,0))),"")</f>
        <v/>
      </c>
      <c r="D70" s="15"/>
      <c r="E70" s="11"/>
      <c r="F70" s="11" t="str">
        <f aca="false">IF($D70="","",$D70*$E70)</f>
        <v/>
      </c>
      <c r="G70" s="11" t="str">
        <f aca="false">IFERROR(IF($B70="","",INDEX(Inventory!$G$3:$G$253,MATCH($B70,Inventory!$A$3:$A$253,0))),"")</f>
        <v/>
      </c>
      <c r="H70" s="11" t="str">
        <f aca="false">IF($D70="","",$D70*IFERROR($G70+0,0))</f>
        <v/>
      </c>
      <c r="I70" s="11"/>
      <c r="J70" s="11"/>
      <c r="K70" s="11" t="str">
        <f aca="false">IF($F70="","",$F70-$I70-$J70)</f>
        <v/>
      </c>
      <c r="L70" s="11" t="str">
        <f aca="false">IF($K70="","",$K70-$H70)</f>
        <v/>
      </c>
      <c r="M70" s="12" t="str">
        <f aca="false">IF(OR($F70="",$F70=0),"",$L70/$F70)</f>
        <v/>
      </c>
      <c r="N70" s="14"/>
      <c r="O70" s="14"/>
      <c r="P70" s="14"/>
      <c r="Q70" s="14"/>
    </row>
    <row r="71" customFormat="false" ht="15" hidden="false" customHeight="false" outlineLevel="0" collapsed="false">
      <c r="A71" s="16"/>
      <c r="B71" s="14"/>
      <c r="C71" s="14" t="str">
        <f aca="false">IFERROR(IF($B71="","",INDEX(Inventory!$B$3:$B$253,MATCH($B71,Inventory!$A$3:$A$253,0))),"")</f>
        <v/>
      </c>
      <c r="D71" s="15"/>
      <c r="E71" s="11"/>
      <c r="F71" s="11" t="str">
        <f aca="false">IF($D71="","",$D71*$E71)</f>
        <v/>
      </c>
      <c r="G71" s="11" t="str">
        <f aca="false">IFERROR(IF($B71="","",INDEX(Inventory!$G$3:$G$253,MATCH($B71,Inventory!$A$3:$A$253,0))),"")</f>
        <v/>
      </c>
      <c r="H71" s="11" t="str">
        <f aca="false">IF($D71="","",$D71*IFERROR($G71+0,0))</f>
        <v/>
      </c>
      <c r="I71" s="11"/>
      <c r="J71" s="11"/>
      <c r="K71" s="11" t="str">
        <f aca="false">IF($F71="","",$F71-$I71-$J71)</f>
        <v/>
      </c>
      <c r="L71" s="11" t="str">
        <f aca="false">IF($K71="","",$K71-$H71)</f>
        <v/>
      </c>
      <c r="M71" s="12" t="str">
        <f aca="false">IF(OR($F71="",$F71=0),"",$L71/$F71)</f>
        <v/>
      </c>
      <c r="N71" s="14"/>
      <c r="O71" s="14"/>
      <c r="P71" s="14"/>
      <c r="Q71" s="14"/>
    </row>
    <row r="72" customFormat="false" ht="15" hidden="false" customHeight="false" outlineLevel="0" collapsed="false">
      <c r="A72" s="16"/>
      <c r="B72" s="14"/>
      <c r="C72" s="14" t="str">
        <f aca="false">IFERROR(IF($B72="","",INDEX(Inventory!$B$3:$B$253,MATCH($B72,Inventory!$A$3:$A$253,0))),"")</f>
        <v/>
      </c>
      <c r="D72" s="15"/>
      <c r="E72" s="11"/>
      <c r="F72" s="11" t="str">
        <f aca="false">IF($D72="","",$D72*$E72)</f>
        <v/>
      </c>
      <c r="G72" s="11" t="str">
        <f aca="false">IFERROR(IF($B72="","",INDEX(Inventory!$G$3:$G$253,MATCH($B72,Inventory!$A$3:$A$253,0))),"")</f>
        <v/>
      </c>
      <c r="H72" s="11" t="str">
        <f aca="false">IF($D72="","",$D72*IFERROR($G72+0,0))</f>
        <v/>
      </c>
      <c r="I72" s="11"/>
      <c r="J72" s="11"/>
      <c r="K72" s="11" t="str">
        <f aca="false">IF($F72="","",$F72-$I72-$J72)</f>
        <v/>
      </c>
      <c r="L72" s="11" t="str">
        <f aca="false">IF($K72="","",$K72-$H72)</f>
        <v/>
      </c>
      <c r="M72" s="12" t="str">
        <f aca="false">IF(OR($F72="",$F72=0),"",$L72/$F72)</f>
        <v/>
      </c>
      <c r="N72" s="14"/>
      <c r="O72" s="14"/>
      <c r="P72" s="14"/>
      <c r="Q72" s="14"/>
    </row>
    <row r="73" customFormat="false" ht="15" hidden="false" customHeight="false" outlineLevel="0" collapsed="false">
      <c r="A73" s="16"/>
      <c r="B73" s="14"/>
      <c r="C73" s="14" t="str">
        <f aca="false">IFERROR(IF($B73="","",INDEX(Inventory!$B$3:$B$253,MATCH($B73,Inventory!$A$3:$A$253,0))),"")</f>
        <v/>
      </c>
      <c r="D73" s="15"/>
      <c r="E73" s="11"/>
      <c r="F73" s="11" t="str">
        <f aca="false">IF($D73="","",$D73*$E73)</f>
        <v/>
      </c>
      <c r="G73" s="11" t="str">
        <f aca="false">IFERROR(IF($B73="","",INDEX(Inventory!$G$3:$G$253,MATCH($B73,Inventory!$A$3:$A$253,0))),"")</f>
        <v/>
      </c>
      <c r="H73" s="11" t="str">
        <f aca="false">IF($D73="","",$D73*IFERROR($G73+0,0))</f>
        <v/>
      </c>
      <c r="I73" s="11"/>
      <c r="J73" s="11"/>
      <c r="K73" s="11" t="str">
        <f aca="false">IF($F73="","",$F73-$I73-$J73)</f>
        <v/>
      </c>
      <c r="L73" s="11" t="str">
        <f aca="false">IF($K73="","",$K73-$H73)</f>
        <v/>
      </c>
      <c r="M73" s="12" t="str">
        <f aca="false">IF(OR($F73="",$F73=0),"",$L73/$F73)</f>
        <v/>
      </c>
      <c r="N73" s="14"/>
      <c r="O73" s="14"/>
      <c r="P73" s="14"/>
      <c r="Q73" s="14"/>
    </row>
    <row r="74" customFormat="false" ht="15" hidden="false" customHeight="false" outlineLevel="0" collapsed="false">
      <c r="A74" s="16"/>
      <c r="B74" s="14"/>
      <c r="C74" s="14" t="str">
        <f aca="false">IFERROR(IF($B74="","",INDEX(Inventory!$B$3:$B$253,MATCH($B74,Inventory!$A$3:$A$253,0))),"")</f>
        <v/>
      </c>
      <c r="D74" s="15"/>
      <c r="E74" s="11"/>
      <c r="F74" s="11" t="str">
        <f aca="false">IF($D74="","",$D74*$E74)</f>
        <v/>
      </c>
      <c r="G74" s="11" t="str">
        <f aca="false">IFERROR(IF($B74="","",INDEX(Inventory!$G$3:$G$253,MATCH($B74,Inventory!$A$3:$A$253,0))),"")</f>
        <v/>
      </c>
      <c r="H74" s="11" t="str">
        <f aca="false">IF($D74="","",$D74*IFERROR($G74+0,0))</f>
        <v/>
      </c>
      <c r="I74" s="11"/>
      <c r="J74" s="11"/>
      <c r="K74" s="11" t="str">
        <f aca="false">IF($F74="","",$F74-$I74-$J74)</f>
        <v/>
      </c>
      <c r="L74" s="11" t="str">
        <f aca="false">IF($K74="","",$K74-$H74)</f>
        <v/>
      </c>
      <c r="M74" s="12" t="str">
        <f aca="false">IF(OR($F74="",$F74=0),"",$L74/$F74)</f>
        <v/>
      </c>
      <c r="N74" s="14"/>
      <c r="O74" s="14"/>
      <c r="P74" s="14"/>
      <c r="Q74" s="14"/>
    </row>
    <row r="75" customFormat="false" ht="15" hidden="false" customHeight="false" outlineLevel="0" collapsed="false">
      <c r="A75" s="16"/>
      <c r="B75" s="14"/>
      <c r="C75" s="14" t="str">
        <f aca="false">IFERROR(IF($B75="","",INDEX(Inventory!$B$3:$B$253,MATCH($B75,Inventory!$A$3:$A$253,0))),"")</f>
        <v/>
      </c>
      <c r="D75" s="15"/>
      <c r="E75" s="11"/>
      <c r="F75" s="11" t="str">
        <f aca="false">IF($D75="","",$D75*$E75)</f>
        <v/>
      </c>
      <c r="G75" s="11" t="str">
        <f aca="false">IFERROR(IF($B75="","",INDEX(Inventory!$G$3:$G$253,MATCH($B75,Inventory!$A$3:$A$253,0))),"")</f>
        <v/>
      </c>
      <c r="H75" s="11" t="str">
        <f aca="false">IF($D75="","",$D75*IFERROR($G75+0,0))</f>
        <v/>
      </c>
      <c r="I75" s="11"/>
      <c r="J75" s="11"/>
      <c r="K75" s="11" t="str">
        <f aca="false">IF($F75="","",$F75-$I75-$J75)</f>
        <v/>
      </c>
      <c r="L75" s="11" t="str">
        <f aca="false">IF($K75="","",$K75-$H75)</f>
        <v/>
      </c>
      <c r="M75" s="12" t="str">
        <f aca="false">IF(OR($F75="",$F75=0),"",$L75/$F75)</f>
        <v/>
      </c>
      <c r="N75" s="14"/>
      <c r="O75" s="14"/>
      <c r="P75" s="14"/>
      <c r="Q75" s="14"/>
    </row>
    <row r="76" customFormat="false" ht="15" hidden="false" customHeight="false" outlineLevel="0" collapsed="false">
      <c r="A76" s="16"/>
      <c r="B76" s="14"/>
      <c r="C76" s="14" t="str">
        <f aca="false">IFERROR(IF($B76="","",INDEX(Inventory!$B$3:$B$253,MATCH($B76,Inventory!$A$3:$A$253,0))),"")</f>
        <v/>
      </c>
      <c r="D76" s="15"/>
      <c r="E76" s="11"/>
      <c r="F76" s="11" t="str">
        <f aca="false">IF($D76="","",$D76*$E76)</f>
        <v/>
      </c>
      <c r="G76" s="11" t="str">
        <f aca="false">IFERROR(IF($B76="","",INDEX(Inventory!$G$3:$G$253,MATCH($B76,Inventory!$A$3:$A$253,0))),"")</f>
        <v/>
      </c>
      <c r="H76" s="11" t="str">
        <f aca="false">IF($D76="","",$D76*IFERROR($G76+0,0))</f>
        <v/>
      </c>
      <c r="I76" s="11"/>
      <c r="J76" s="11"/>
      <c r="K76" s="11" t="str">
        <f aca="false">IF($F76="","",$F76-$I76-$J76)</f>
        <v/>
      </c>
      <c r="L76" s="11" t="str">
        <f aca="false">IF($K76="","",$K76-$H76)</f>
        <v/>
      </c>
      <c r="M76" s="12" t="str">
        <f aca="false">IF(OR($F76="",$F76=0),"",$L76/$F76)</f>
        <v/>
      </c>
      <c r="N76" s="14"/>
      <c r="O76" s="14"/>
      <c r="P76" s="14"/>
      <c r="Q76" s="14"/>
    </row>
    <row r="77" customFormat="false" ht="15" hidden="false" customHeight="false" outlineLevel="0" collapsed="false">
      <c r="A77" s="16"/>
      <c r="B77" s="14"/>
      <c r="C77" s="14" t="str">
        <f aca="false">IFERROR(IF($B77="","",INDEX(Inventory!$B$3:$B$253,MATCH($B77,Inventory!$A$3:$A$253,0))),"")</f>
        <v/>
      </c>
      <c r="D77" s="15"/>
      <c r="E77" s="11"/>
      <c r="F77" s="11" t="str">
        <f aca="false">IF($D77="","",$D77*$E77)</f>
        <v/>
      </c>
      <c r="G77" s="11" t="str">
        <f aca="false">IFERROR(IF($B77="","",INDEX(Inventory!$G$3:$G$253,MATCH($B77,Inventory!$A$3:$A$253,0))),"")</f>
        <v/>
      </c>
      <c r="H77" s="11" t="str">
        <f aca="false">IF($D77="","",$D77*IFERROR($G77+0,0))</f>
        <v/>
      </c>
      <c r="I77" s="11"/>
      <c r="J77" s="11"/>
      <c r="K77" s="11" t="str">
        <f aca="false">IF($F77="","",$F77-$I77-$J77)</f>
        <v/>
      </c>
      <c r="L77" s="11" t="str">
        <f aca="false">IF($K77="","",$K77-$H77)</f>
        <v/>
      </c>
      <c r="M77" s="12" t="str">
        <f aca="false">IF(OR($F77="",$F77=0),"",$L77/$F77)</f>
        <v/>
      </c>
      <c r="N77" s="14"/>
      <c r="O77" s="14"/>
      <c r="P77" s="14"/>
      <c r="Q77" s="14"/>
    </row>
    <row r="78" customFormat="false" ht="15" hidden="false" customHeight="false" outlineLevel="0" collapsed="false">
      <c r="A78" s="16"/>
      <c r="B78" s="14"/>
      <c r="C78" s="14" t="str">
        <f aca="false">IFERROR(IF($B78="","",INDEX(Inventory!$B$3:$B$253,MATCH($B78,Inventory!$A$3:$A$253,0))),"")</f>
        <v/>
      </c>
      <c r="D78" s="15"/>
      <c r="E78" s="11"/>
      <c r="F78" s="11" t="str">
        <f aca="false">IF($D78="","",$D78*$E78)</f>
        <v/>
      </c>
      <c r="G78" s="11" t="str">
        <f aca="false">IFERROR(IF($B78="","",INDEX(Inventory!$G$3:$G$253,MATCH($B78,Inventory!$A$3:$A$253,0))),"")</f>
        <v/>
      </c>
      <c r="H78" s="11" t="str">
        <f aca="false">IF($D78="","",$D78*IFERROR($G78+0,0))</f>
        <v/>
      </c>
      <c r="I78" s="11"/>
      <c r="J78" s="11"/>
      <c r="K78" s="11" t="str">
        <f aca="false">IF($F78="","",$F78-$I78-$J78)</f>
        <v/>
      </c>
      <c r="L78" s="11" t="str">
        <f aca="false">IF($K78="","",$K78-$H78)</f>
        <v/>
      </c>
      <c r="M78" s="12" t="str">
        <f aca="false">IF(OR($F78="",$F78=0),"",$L78/$F78)</f>
        <v/>
      </c>
      <c r="N78" s="14"/>
      <c r="O78" s="14"/>
      <c r="P78" s="14"/>
      <c r="Q78" s="14"/>
    </row>
    <row r="79" customFormat="false" ht="15" hidden="false" customHeight="false" outlineLevel="0" collapsed="false">
      <c r="A79" s="16"/>
      <c r="B79" s="14"/>
      <c r="C79" s="14" t="str">
        <f aca="false">IFERROR(IF($B79="","",INDEX(Inventory!$B$3:$B$253,MATCH($B79,Inventory!$A$3:$A$253,0))),"")</f>
        <v/>
      </c>
      <c r="D79" s="15"/>
      <c r="E79" s="11"/>
      <c r="F79" s="11" t="str">
        <f aca="false">IF($D79="","",$D79*$E79)</f>
        <v/>
      </c>
      <c r="G79" s="11" t="str">
        <f aca="false">IFERROR(IF($B79="","",INDEX(Inventory!$G$3:$G$253,MATCH($B79,Inventory!$A$3:$A$253,0))),"")</f>
        <v/>
      </c>
      <c r="H79" s="11" t="str">
        <f aca="false">IF($D79="","",$D79*IFERROR($G79+0,0))</f>
        <v/>
      </c>
      <c r="I79" s="11"/>
      <c r="J79" s="11"/>
      <c r="K79" s="11" t="str">
        <f aca="false">IF($F79="","",$F79-$I79-$J79)</f>
        <v/>
      </c>
      <c r="L79" s="11" t="str">
        <f aca="false">IF($K79="","",$K79-$H79)</f>
        <v/>
      </c>
      <c r="M79" s="12" t="str">
        <f aca="false">IF(OR($F79="",$F79=0),"",$L79/$F79)</f>
        <v/>
      </c>
      <c r="N79" s="14"/>
      <c r="O79" s="14"/>
      <c r="P79" s="14"/>
      <c r="Q79" s="14"/>
    </row>
    <row r="80" customFormat="false" ht="15" hidden="false" customHeight="false" outlineLevel="0" collapsed="false">
      <c r="A80" s="16"/>
      <c r="B80" s="14"/>
      <c r="C80" s="14" t="str">
        <f aca="false">IFERROR(IF($B80="","",INDEX(Inventory!$B$3:$B$253,MATCH($B80,Inventory!$A$3:$A$253,0))),"")</f>
        <v/>
      </c>
      <c r="D80" s="15"/>
      <c r="E80" s="11"/>
      <c r="F80" s="11" t="str">
        <f aca="false">IF($D80="","",$D80*$E80)</f>
        <v/>
      </c>
      <c r="G80" s="11" t="str">
        <f aca="false">IFERROR(IF($B80="","",INDEX(Inventory!$G$3:$G$253,MATCH($B80,Inventory!$A$3:$A$253,0))),"")</f>
        <v/>
      </c>
      <c r="H80" s="11" t="str">
        <f aca="false">IF($D80="","",$D80*IFERROR($G80+0,0))</f>
        <v/>
      </c>
      <c r="I80" s="11"/>
      <c r="J80" s="11"/>
      <c r="K80" s="11" t="str">
        <f aca="false">IF($F80="","",$F80-$I80-$J80)</f>
        <v/>
      </c>
      <c r="L80" s="11" t="str">
        <f aca="false">IF($K80="","",$K80-$H80)</f>
        <v/>
      </c>
      <c r="M80" s="12" t="str">
        <f aca="false">IF(OR($F80="",$F80=0),"",$L80/$F80)</f>
        <v/>
      </c>
      <c r="N80" s="14"/>
      <c r="O80" s="14"/>
      <c r="P80" s="14"/>
      <c r="Q80" s="14"/>
    </row>
    <row r="81" customFormat="false" ht="15" hidden="false" customHeight="false" outlineLevel="0" collapsed="false">
      <c r="A81" s="16"/>
      <c r="B81" s="14"/>
      <c r="C81" s="14" t="str">
        <f aca="false">IFERROR(IF($B81="","",INDEX(Inventory!$B$3:$B$253,MATCH($B81,Inventory!$A$3:$A$253,0))),"")</f>
        <v/>
      </c>
      <c r="D81" s="15"/>
      <c r="E81" s="11"/>
      <c r="F81" s="11" t="str">
        <f aca="false">IF($D81="","",$D81*$E81)</f>
        <v/>
      </c>
      <c r="G81" s="11" t="str">
        <f aca="false">IFERROR(IF($B81="","",INDEX(Inventory!$G$3:$G$253,MATCH($B81,Inventory!$A$3:$A$253,0))),"")</f>
        <v/>
      </c>
      <c r="H81" s="11" t="str">
        <f aca="false">IF($D81="","",$D81*IFERROR($G81+0,0))</f>
        <v/>
      </c>
      <c r="I81" s="11"/>
      <c r="J81" s="11"/>
      <c r="K81" s="11" t="str">
        <f aca="false">IF($F81="","",$F81-$I81-$J81)</f>
        <v/>
      </c>
      <c r="L81" s="11" t="str">
        <f aca="false">IF($K81="","",$K81-$H81)</f>
        <v/>
      </c>
      <c r="M81" s="12" t="str">
        <f aca="false">IF(OR($F81="",$F81=0),"",$L81/$F81)</f>
        <v/>
      </c>
      <c r="N81" s="14"/>
      <c r="O81" s="14"/>
      <c r="P81" s="14"/>
      <c r="Q81" s="14"/>
    </row>
    <row r="82" customFormat="false" ht="15" hidden="false" customHeight="false" outlineLevel="0" collapsed="false">
      <c r="A82" s="16"/>
      <c r="B82" s="14"/>
      <c r="C82" s="14" t="str">
        <f aca="false">IFERROR(IF($B82="","",INDEX(Inventory!$B$3:$B$253,MATCH($B82,Inventory!$A$3:$A$253,0))),"")</f>
        <v/>
      </c>
      <c r="D82" s="15"/>
      <c r="E82" s="11"/>
      <c r="F82" s="11" t="str">
        <f aca="false">IF($D82="","",$D82*$E82)</f>
        <v/>
      </c>
      <c r="G82" s="11" t="str">
        <f aca="false">IFERROR(IF($B82="","",INDEX(Inventory!$G$3:$G$253,MATCH($B82,Inventory!$A$3:$A$253,0))),"")</f>
        <v/>
      </c>
      <c r="H82" s="11" t="str">
        <f aca="false">IF($D82="","",$D82*IFERROR($G82+0,0))</f>
        <v/>
      </c>
      <c r="I82" s="11"/>
      <c r="J82" s="11"/>
      <c r="K82" s="11" t="str">
        <f aca="false">IF($F82="","",$F82-$I82-$J82)</f>
        <v/>
      </c>
      <c r="L82" s="11" t="str">
        <f aca="false">IF($K82="","",$K82-$H82)</f>
        <v/>
      </c>
      <c r="M82" s="12" t="str">
        <f aca="false">IF(OR($F82="",$F82=0),"",$L82/$F82)</f>
        <v/>
      </c>
      <c r="N82" s="14"/>
      <c r="O82" s="14"/>
      <c r="P82" s="14"/>
      <c r="Q82" s="14"/>
    </row>
    <row r="83" customFormat="false" ht="15" hidden="false" customHeight="false" outlineLevel="0" collapsed="false">
      <c r="A83" s="16"/>
      <c r="B83" s="14"/>
      <c r="C83" s="14" t="str">
        <f aca="false">IFERROR(IF($B83="","",INDEX(Inventory!$B$3:$B$253,MATCH($B83,Inventory!$A$3:$A$253,0))),"")</f>
        <v/>
      </c>
      <c r="D83" s="15"/>
      <c r="E83" s="11"/>
      <c r="F83" s="11" t="str">
        <f aca="false">IF($D83="","",$D83*$E83)</f>
        <v/>
      </c>
      <c r="G83" s="11" t="str">
        <f aca="false">IFERROR(IF($B83="","",INDEX(Inventory!$G$3:$G$253,MATCH($B83,Inventory!$A$3:$A$253,0))),"")</f>
        <v/>
      </c>
      <c r="H83" s="11" t="str">
        <f aca="false">IF($D83="","",$D83*IFERROR($G83+0,0))</f>
        <v/>
      </c>
      <c r="I83" s="11"/>
      <c r="J83" s="11"/>
      <c r="K83" s="11" t="str">
        <f aca="false">IF($F83="","",$F83-$I83-$J83)</f>
        <v/>
      </c>
      <c r="L83" s="11" t="str">
        <f aca="false">IF($K83="","",$K83-$H83)</f>
        <v/>
      </c>
      <c r="M83" s="12" t="str">
        <f aca="false">IF(OR($F83="",$F83=0),"",$L83/$F83)</f>
        <v/>
      </c>
      <c r="N83" s="14"/>
      <c r="O83" s="14"/>
      <c r="P83" s="14"/>
      <c r="Q83" s="14"/>
    </row>
    <row r="84" customFormat="false" ht="15" hidden="false" customHeight="false" outlineLevel="0" collapsed="false">
      <c r="A84" s="16"/>
      <c r="B84" s="14"/>
      <c r="C84" s="14" t="str">
        <f aca="false">IFERROR(IF($B84="","",INDEX(Inventory!$B$3:$B$253,MATCH($B84,Inventory!$A$3:$A$253,0))),"")</f>
        <v/>
      </c>
      <c r="D84" s="15"/>
      <c r="E84" s="11"/>
      <c r="F84" s="11" t="str">
        <f aca="false">IF($D84="","",$D84*$E84)</f>
        <v/>
      </c>
      <c r="G84" s="11" t="str">
        <f aca="false">IFERROR(IF($B84="","",INDEX(Inventory!$G$3:$G$253,MATCH($B84,Inventory!$A$3:$A$253,0))),"")</f>
        <v/>
      </c>
      <c r="H84" s="11" t="str">
        <f aca="false">IF($D84="","",$D84*IFERROR($G84+0,0))</f>
        <v/>
      </c>
      <c r="I84" s="11"/>
      <c r="J84" s="11"/>
      <c r="K84" s="11" t="str">
        <f aca="false">IF($F84="","",$F84-$I84-$J84)</f>
        <v/>
      </c>
      <c r="L84" s="11" t="str">
        <f aca="false">IF($K84="","",$K84-$H84)</f>
        <v/>
      </c>
      <c r="M84" s="12" t="str">
        <f aca="false">IF(OR($F84="",$F84=0),"",$L84/$F84)</f>
        <v/>
      </c>
      <c r="N84" s="14"/>
      <c r="O84" s="14"/>
      <c r="P84" s="14"/>
      <c r="Q84" s="14"/>
    </row>
    <row r="85" customFormat="false" ht="15" hidden="false" customHeight="false" outlineLevel="0" collapsed="false">
      <c r="A85" s="16"/>
      <c r="B85" s="14"/>
      <c r="C85" s="14" t="str">
        <f aca="false">IFERROR(IF($B85="","",INDEX(Inventory!$B$3:$B$253,MATCH($B85,Inventory!$A$3:$A$253,0))),"")</f>
        <v/>
      </c>
      <c r="D85" s="15"/>
      <c r="E85" s="11"/>
      <c r="F85" s="11" t="str">
        <f aca="false">IF($D85="","",$D85*$E85)</f>
        <v/>
      </c>
      <c r="G85" s="11" t="str">
        <f aca="false">IFERROR(IF($B85="","",INDEX(Inventory!$G$3:$G$253,MATCH($B85,Inventory!$A$3:$A$253,0))),"")</f>
        <v/>
      </c>
      <c r="H85" s="11" t="str">
        <f aca="false">IF($D85="","",$D85*IFERROR($G85+0,0))</f>
        <v/>
      </c>
      <c r="I85" s="11"/>
      <c r="J85" s="11"/>
      <c r="K85" s="11" t="str">
        <f aca="false">IF($F85="","",$F85-$I85-$J85)</f>
        <v/>
      </c>
      <c r="L85" s="11" t="str">
        <f aca="false">IF($K85="","",$K85-$H85)</f>
        <v/>
      </c>
      <c r="M85" s="12" t="str">
        <f aca="false">IF(OR($F85="",$F85=0),"",$L85/$F85)</f>
        <v/>
      </c>
      <c r="N85" s="14"/>
      <c r="O85" s="14"/>
      <c r="P85" s="14"/>
      <c r="Q85" s="14"/>
    </row>
    <row r="86" customFormat="false" ht="15" hidden="false" customHeight="false" outlineLevel="0" collapsed="false">
      <c r="A86" s="16"/>
      <c r="B86" s="14"/>
      <c r="C86" s="14" t="str">
        <f aca="false">IFERROR(IF($B86="","",INDEX(Inventory!$B$3:$B$253,MATCH($B86,Inventory!$A$3:$A$253,0))),"")</f>
        <v/>
      </c>
      <c r="D86" s="15"/>
      <c r="E86" s="11"/>
      <c r="F86" s="11" t="str">
        <f aca="false">IF($D86="","",$D86*$E86)</f>
        <v/>
      </c>
      <c r="G86" s="11" t="str">
        <f aca="false">IFERROR(IF($B86="","",INDEX(Inventory!$G$3:$G$253,MATCH($B86,Inventory!$A$3:$A$253,0))),"")</f>
        <v/>
      </c>
      <c r="H86" s="11" t="str">
        <f aca="false">IF($D86="","",$D86*IFERROR($G86+0,0))</f>
        <v/>
      </c>
      <c r="I86" s="11"/>
      <c r="J86" s="11"/>
      <c r="K86" s="11" t="str">
        <f aca="false">IF($F86="","",$F86-$I86-$J86)</f>
        <v/>
      </c>
      <c r="L86" s="11" t="str">
        <f aca="false">IF($K86="","",$K86-$H86)</f>
        <v/>
      </c>
      <c r="M86" s="12" t="str">
        <f aca="false">IF(OR($F86="",$F86=0),"",$L86/$F86)</f>
        <v/>
      </c>
      <c r="N86" s="14"/>
      <c r="O86" s="14"/>
      <c r="P86" s="14"/>
      <c r="Q86" s="14"/>
    </row>
    <row r="87" customFormat="false" ht="15" hidden="false" customHeight="false" outlineLevel="0" collapsed="false">
      <c r="A87" s="16"/>
      <c r="B87" s="14"/>
      <c r="C87" s="14" t="str">
        <f aca="false">IFERROR(IF($B87="","",INDEX(Inventory!$B$3:$B$253,MATCH($B87,Inventory!$A$3:$A$253,0))),"")</f>
        <v/>
      </c>
      <c r="D87" s="15"/>
      <c r="E87" s="11"/>
      <c r="F87" s="11" t="str">
        <f aca="false">IF($D87="","",$D87*$E87)</f>
        <v/>
      </c>
      <c r="G87" s="11" t="str">
        <f aca="false">IFERROR(IF($B87="","",INDEX(Inventory!$G$3:$G$253,MATCH($B87,Inventory!$A$3:$A$253,0))),"")</f>
        <v/>
      </c>
      <c r="H87" s="11" t="str">
        <f aca="false">IF($D87="","",$D87*IFERROR($G87+0,0))</f>
        <v/>
      </c>
      <c r="I87" s="11"/>
      <c r="J87" s="11"/>
      <c r="K87" s="11" t="str">
        <f aca="false">IF($F87="","",$F87-$I87-$J87)</f>
        <v/>
      </c>
      <c r="L87" s="11" t="str">
        <f aca="false">IF($K87="","",$K87-$H87)</f>
        <v/>
      </c>
      <c r="M87" s="12" t="str">
        <f aca="false">IF(OR($F87="",$F87=0),"",$L87/$F87)</f>
        <v/>
      </c>
      <c r="N87" s="14"/>
      <c r="O87" s="14"/>
      <c r="P87" s="14"/>
      <c r="Q87" s="14"/>
    </row>
    <row r="88" customFormat="false" ht="15" hidden="false" customHeight="false" outlineLevel="0" collapsed="false">
      <c r="A88" s="16"/>
      <c r="B88" s="14"/>
      <c r="C88" s="14" t="str">
        <f aca="false">IFERROR(IF($B88="","",INDEX(Inventory!$B$3:$B$253,MATCH($B88,Inventory!$A$3:$A$253,0))),"")</f>
        <v/>
      </c>
      <c r="D88" s="15"/>
      <c r="E88" s="11"/>
      <c r="F88" s="11" t="str">
        <f aca="false">IF($D88="","",$D88*$E88)</f>
        <v/>
      </c>
      <c r="G88" s="11" t="str">
        <f aca="false">IFERROR(IF($B88="","",INDEX(Inventory!$G$3:$G$253,MATCH($B88,Inventory!$A$3:$A$253,0))),"")</f>
        <v/>
      </c>
      <c r="H88" s="11" t="str">
        <f aca="false">IF($D88="","",$D88*IFERROR($G88+0,0))</f>
        <v/>
      </c>
      <c r="I88" s="11"/>
      <c r="J88" s="11"/>
      <c r="K88" s="11" t="str">
        <f aca="false">IF($F88="","",$F88-$I88-$J88)</f>
        <v/>
      </c>
      <c r="L88" s="11" t="str">
        <f aca="false">IF($K88="","",$K88-$H88)</f>
        <v/>
      </c>
      <c r="M88" s="12" t="str">
        <f aca="false">IF(OR($F88="",$F88=0),"",$L88/$F88)</f>
        <v/>
      </c>
      <c r="N88" s="14"/>
      <c r="O88" s="14"/>
      <c r="P88" s="14"/>
      <c r="Q88" s="14"/>
    </row>
    <row r="89" customFormat="false" ht="15" hidden="false" customHeight="false" outlineLevel="0" collapsed="false">
      <c r="A89" s="16"/>
      <c r="B89" s="14"/>
      <c r="C89" s="14" t="str">
        <f aca="false">IFERROR(IF($B89="","",INDEX(Inventory!$B$3:$B$253,MATCH($B89,Inventory!$A$3:$A$253,0))),"")</f>
        <v/>
      </c>
      <c r="D89" s="15"/>
      <c r="E89" s="11"/>
      <c r="F89" s="11" t="str">
        <f aca="false">IF($D89="","",$D89*$E89)</f>
        <v/>
      </c>
      <c r="G89" s="11" t="str">
        <f aca="false">IFERROR(IF($B89="","",INDEX(Inventory!$G$3:$G$253,MATCH($B89,Inventory!$A$3:$A$253,0))),"")</f>
        <v/>
      </c>
      <c r="H89" s="11" t="str">
        <f aca="false">IF($D89="","",$D89*IFERROR($G89+0,0))</f>
        <v/>
      </c>
      <c r="I89" s="11"/>
      <c r="J89" s="11"/>
      <c r="K89" s="11" t="str">
        <f aca="false">IF($F89="","",$F89-$I89-$J89)</f>
        <v/>
      </c>
      <c r="L89" s="11" t="str">
        <f aca="false">IF($K89="","",$K89-$H89)</f>
        <v/>
      </c>
      <c r="M89" s="12" t="str">
        <f aca="false">IF(OR($F89="",$F89=0),"",$L89/$F89)</f>
        <v/>
      </c>
      <c r="N89" s="14"/>
      <c r="O89" s="14"/>
      <c r="P89" s="14"/>
      <c r="Q89" s="14"/>
    </row>
    <row r="90" customFormat="false" ht="15" hidden="false" customHeight="false" outlineLevel="0" collapsed="false">
      <c r="A90" s="16"/>
      <c r="B90" s="14"/>
      <c r="C90" s="14" t="str">
        <f aca="false">IFERROR(IF($B90="","",INDEX(Inventory!$B$3:$B$253,MATCH($B90,Inventory!$A$3:$A$253,0))),"")</f>
        <v/>
      </c>
      <c r="D90" s="15"/>
      <c r="E90" s="11"/>
      <c r="F90" s="11" t="str">
        <f aca="false">IF($D90="","",$D90*$E90)</f>
        <v/>
      </c>
      <c r="G90" s="11" t="str">
        <f aca="false">IFERROR(IF($B90="","",INDEX(Inventory!$G$3:$G$253,MATCH($B90,Inventory!$A$3:$A$253,0))),"")</f>
        <v/>
      </c>
      <c r="H90" s="11" t="str">
        <f aca="false">IF($D90="","",$D90*IFERROR($G90+0,0))</f>
        <v/>
      </c>
      <c r="I90" s="11"/>
      <c r="J90" s="11"/>
      <c r="K90" s="11" t="str">
        <f aca="false">IF($F90="","",$F90-$I90-$J90)</f>
        <v/>
      </c>
      <c r="L90" s="11" t="str">
        <f aca="false">IF($K90="","",$K90-$H90)</f>
        <v/>
      </c>
      <c r="M90" s="12" t="str">
        <f aca="false">IF(OR($F90="",$F90=0),"",$L90/$F90)</f>
        <v/>
      </c>
      <c r="N90" s="14"/>
      <c r="O90" s="14"/>
      <c r="P90" s="14"/>
      <c r="Q90" s="14"/>
    </row>
    <row r="91" customFormat="false" ht="15" hidden="false" customHeight="false" outlineLevel="0" collapsed="false">
      <c r="A91" s="16"/>
      <c r="B91" s="14"/>
      <c r="C91" s="14" t="str">
        <f aca="false">IFERROR(IF($B91="","",INDEX(Inventory!$B$3:$B$253,MATCH($B91,Inventory!$A$3:$A$253,0))),"")</f>
        <v/>
      </c>
      <c r="D91" s="15"/>
      <c r="E91" s="11"/>
      <c r="F91" s="11" t="str">
        <f aca="false">IF($D91="","",$D91*$E91)</f>
        <v/>
      </c>
      <c r="G91" s="11" t="str">
        <f aca="false">IFERROR(IF($B91="","",INDEX(Inventory!$G$3:$G$253,MATCH($B91,Inventory!$A$3:$A$253,0))),"")</f>
        <v/>
      </c>
      <c r="H91" s="11" t="str">
        <f aca="false">IF($D91="","",$D91*IFERROR($G91+0,0))</f>
        <v/>
      </c>
      <c r="I91" s="11"/>
      <c r="J91" s="11"/>
      <c r="K91" s="11" t="str">
        <f aca="false">IF($F91="","",$F91-$I91-$J91)</f>
        <v/>
      </c>
      <c r="L91" s="11" t="str">
        <f aca="false">IF($K91="","",$K91-$H91)</f>
        <v/>
      </c>
      <c r="M91" s="12" t="str">
        <f aca="false">IF(OR($F91="",$F91=0),"",$L91/$F91)</f>
        <v/>
      </c>
      <c r="N91" s="14"/>
      <c r="O91" s="14"/>
      <c r="P91" s="14"/>
      <c r="Q91" s="14"/>
    </row>
    <row r="92" customFormat="false" ht="15" hidden="false" customHeight="false" outlineLevel="0" collapsed="false">
      <c r="A92" s="16"/>
      <c r="B92" s="14"/>
      <c r="C92" s="14" t="str">
        <f aca="false">IFERROR(IF($B92="","",INDEX(Inventory!$B$3:$B$253,MATCH($B92,Inventory!$A$3:$A$253,0))),"")</f>
        <v/>
      </c>
      <c r="D92" s="15"/>
      <c r="E92" s="11"/>
      <c r="F92" s="11" t="str">
        <f aca="false">IF($D92="","",$D92*$E92)</f>
        <v/>
      </c>
      <c r="G92" s="11" t="str">
        <f aca="false">IFERROR(IF($B92="","",INDEX(Inventory!$G$3:$G$253,MATCH($B92,Inventory!$A$3:$A$253,0))),"")</f>
        <v/>
      </c>
      <c r="H92" s="11" t="str">
        <f aca="false">IF($D92="","",$D92*IFERROR($G92+0,0))</f>
        <v/>
      </c>
      <c r="I92" s="11"/>
      <c r="J92" s="11"/>
      <c r="K92" s="11" t="str">
        <f aca="false">IF($F92="","",$F92-$I92-$J92)</f>
        <v/>
      </c>
      <c r="L92" s="11" t="str">
        <f aca="false">IF($K92="","",$K92-$H92)</f>
        <v/>
      </c>
      <c r="M92" s="12" t="str">
        <f aca="false">IF(OR($F92="",$F92=0),"",$L92/$F92)</f>
        <v/>
      </c>
      <c r="N92" s="14"/>
      <c r="O92" s="14"/>
      <c r="P92" s="14"/>
      <c r="Q92" s="14"/>
    </row>
    <row r="93" customFormat="false" ht="15" hidden="false" customHeight="false" outlineLevel="0" collapsed="false">
      <c r="A93" s="16"/>
      <c r="B93" s="14"/>
      <c r="C93" s="14" t="str">
        <f aca="false">IFERROR(IF($B93="","",INDEX(Inventory!$B$3:$B$253,MATCH($B93,Inventory!$A$3:$A$253,0))),"")</f>
        <v/>
      </c>
      <c r="D93" s="15"/>
      <c r="E93" s="11"/>
      <c r="F93" s="11" t="str">
        <f aca="false">IF($D93="","",$D93*$E93)</f>
        <v/>
      </c>
      <c r="G93" s="11" t="str">
        <f aca="false">IFERROR(IF($B93="","",INDEX(Inventory!$G$3:$G$253,MATCH($B93,Inventory!$A$3:$A$253,0))),"")</f>
        <v/>
      </c>
      <c r="H93" s="11" t="str">
        <f aca="false">IF($D93="","",$D93*IFERROR($G93+0,0))</f>
        <v/>
      </c>
      <c r="I93" s="11"/>
      <c r="J93" s="11"/>
      <c r="K93" s="11" t="str">
        <f aca="false">IF($F93="","",$F93-$I93-$J93)</f>
        <v/>
      </c>
      <c r="L93" s="11" t="str">
        <f aca="false">IF($K93="","",$K93-$H93)</f>
        <v/>
      </c>
      <c r="M93" s="12" t="str">
        <f aca="false">IF(OR($F93="",$F93=0),"",$L93/$F93)</f>
        <v/>
      </c>
      <c r="N93" s="14"/>
      <c r="O93" s="14"/>
      <c r="P93" s="14"/>
      <c r="Q93" s="14"/>
    </row>
    <row r="94" customFormat="false" ht="15" hidden="false" customHeight="false" outlineLevel="0" collapsed="false">
      <c r="A94" s="16"/>
      <c r="B94" s="14"/>
      <c r="C94" s="14" t="str">
        <f aca="false">IFERROR(IF($B94="","",INDEX(Inventory!$B$3:$B$253,MATCH($B94,Inventory!$A$3:$A$253,0))),"")</f>
        <v/>
      </c>
      <c r="D94" s="15"/>
      <c r="E94" s="11"/>
      <c r="F94" s="11" t="str">
        <f aca="false">IF($D94="","",$D94*$E94)</f>
        <v/>
      </c>
      <c r="G94" s="11" t="str">
        <f aca="false">IFERROR(IF($B94="","",INDEX(Inventory!$G$3:$G$253,MATCH($B94,Inventory!$A$3:$A$253,0))),"")</f>
        <v/>
      </c>
      <c r="H94" s="11" t="str">
        <f aca="false">IF($D94="","",$D94*IFERROR($G94+0,0))</f>
        <v/>
      </c>
      <c r="I94" s="11"/>
      <c r="J94" s="11"/>
      <c r="K94" s="11" t="str">
        <f aca="false">IF($F94="","",$F94-$I94-$J94)</f>
        <v/>
      </c>
      <c r="L94" s="11" t="str">
        <f aca="false">IF($K94="","",$K94-$H94)</f>
        <v/>
      </c>
      <c r="M94" s="12" t="str">
        <f aca="false">IF(OR($F94="",$F94=0),"",$L94/$F94)</f>
        <v/>
      </c>
      <c r="N94" s="14"/>
      <c r="O94" s="14"/>
      <c r="P94" s="14"/>
      <c r="Q94" s="14"/>
    </row>
    <row r="95" customFormat="false" ht="15" hidden="false" customHeight="false" outlineLevel="0" collapsed="false">
      <c r="A95" s="16"/>
      <c r="B95" s="14"/>
      <c r="C95" s="14" t="str">
        <f aca="false">IFERROR(IF($B95="","",INDEX(Inventory!$B$3:$B$253,MATCH($B95,Inventory!$A$3:$A$253,0))),"")</f>
        <v/>
      </c>
      <c r="D95" s="15"/>
      <c r="E95" s="11"/>
      <c r="F95" s="11" t="str">
        <f aca="false">IF($D95="","",$D95*$E95)</f>
        <v/>
      </c>
      <c r="G95" s="11" t="str">
        <f aca="false">IFERROR(IF($B95="","",INDEX(Inventory!$G$3:$G$253,MATCH($B95,Inventory!$A$3:$A$253,0))),"")</f>
        <v/>
      </c>
      <c r="H95" s="11" t="str">
        <f aca="false">IF($D95="","",$D95*IFERROR($G95+0,0))</f>
        <v/>
      </c>
      <c r="I95" s="11"/>
      <c r="J95" s="11"/>
      <c r="K95" s="11" t="str">
        <f aca="false">IF($F95="","",$F95-$I95-$J95)</f>
        <v/>
      </c>
      <c r="L95" s="11" t="str">
        <f aca="false">IF($K95="","",$K95-$H95)</f>
        <v/>
      </c>
      <c r="M95" s="12" t="str">
        <f aca="false">IF(OR($F95="",$F95=0),"",$L95/$F95)</f>
        <v/>
      </c>
      <c r="N95" s="14"/>
      <c r="O95" s="14"/>
      <c r="P95" s="14"/>
      <c r="Q95" s="14"/>
    </row>
    <row r="96" customFormat="false" ht="15" hidden="false" customHeight="false" outlineLevel="0" collapsed="false">
      <c r="A96" s="16"/>
      <c r="B96" s="14"/>
      <c r="C96" s="14" t="str">
        <f aca="false">IFERROR(IF($B96="","",INDEX(Inventory!$B$3:$B$253,MATCH($B96,Inventory!$A$3:$A$253,0))),"")</f>
        <v/>
      </c>
      <c r="D96" s="15"/>
      <c r="E96" s="11"/>
      <c r="F96" s="11" t="str">
        <f aca="false">IF($D96="","",$D96*$E96)</f>
        <v/>
      </c>
      <c r="G96" s="11" t="str">
        <f aca="false">IFERROR(IF($B96="","",INDEX(Inventory!$G$3:$G$253,MATCH($B96,Inventory!$A$3:$A$253,0))),"")</f>
        <v/>
      </c>
      <c r="H96" s="11" t="str">
        <f aca="false">IF($D96="","",$D96*IFERROR($G96+0,0))</f>
        <v/>
      </c>
      <c r="I96" s="11"/>
      <c r="J96" s="11"/>
      <c r="K96" s="11" t="str">
        <f aca="false">IF($F96="","",$F96-$I96-$J96)</f>
        <v/>
      </c>
      <c r="L96" s="11" t="str">
        <f aca="false">IF($K96="","",$K96-$H96)</f>
        <v/>
      </c>
      <c r="M96" s="12" t="str">
        <f aca="false">IF(OR($F96="",$F96=0),"",$L96/$F96)</f>
        <v/>
      </c>
      <c r="N96" s="14"/>
      <c r="O96" s="14"/>
      <c r="P96" s="14"/>
      <c r="Q96" s="14"/>
    </row>
    <row r="97" customFormat="false" ht="15" hidden="false" customHeight="false" outlineLevel="0" collapsed="false">
      <c r="A97" s="16"/>
      <c r="B97" s="14"/>
      <c r="C97" s="14" t="str">
        <f aca="false">IFERROR(IF($B97="","",INDEX(Inventory!$B$3:$B$253,MATCH($B97,Inventory!$A$3:$A$253,0))),"")</f>
        <v/>
      </c>
      <c r="D97" s="15"/>
      <c r="E97" s="11"/>
      <c r="F97" s="11" t="str">
        <f aca="false">IF($D97="","",$D97*$E97)</f>
        <v/>
      </c>
      <c r="G97" s="11" t="str">
        <f aca="false">IFERROR(IF($B97="","",INDEX(Inventory!$G$3:$G$253,MATCH($B97,Inventory!$A$3:$A$253,0))),"")</f>
        <v/>
      </c>
      <c r="H97" s="11" t="str">
        <f aca="false">IF($D97="","",$D97*IFERROR($G97+0,0))</f>
        <v/>
      </c>
      <c r="I97" s="11"/>
      <c r="J97" s="11"/>
      <c r="K97" s="11" t="str">
        <f aca="false">IF($F97="","",$F97-$I97-$J97)</f>
        <v/>
      </c>
      <c r="L97" s="11" t="str">
        <f aca="false">IF($K97="","",$K97-$H97)</f>
        <v/>
      </c>
      <c r="M97" s="12" t="str">
        <f aca="false">IF(OR($F97="",$F97=0),"",$L97/$F97)</f>
        <v/>
      </c>
      <c r="N97" s="14"/>
      <c r="O97" s="14"/>
      <c r="P97" s="14"/>
      <c r="Q97" s="14"/>
    </row>
    <row r="98" customFormat="false" ht="15" hidden="false" customHeight="false" outlineLevel="0" collapsed="false">
      <c r="A98" s="16"/>
      <c r="B98" s="14"/>
      <c r="C98" s="14" t="str">
        <f aca="false">IFERROR(IF($B98="","",INDEX(Inventory!$B$3:$B$253,MATCH($B98,Inventory!$A$3:$A$253,0))),"")</f>
        <v/>
      </c>
      <c r="D98" s="15"/>
      <c r="E98" s="11"/>
      <c r="F98" s="11" t="str">
        <f aca="false">IF($D98="","",$D98*$E98)</f>
        <v/>
      </c>
      <c r="G98" s="11" t="str">
        <f aca="false">IFERROR(IF($B98="","",INDEX(Inventory!$G$3:$G$253,MATCH($B98,Inventory!$A$3:$A$253,0))),"")</f>
        <v/>
      </c>
      <c r="H98" s="11" t="str">
        <f aca="false">IF($D98="","",$D98*IFERROR($G98+0,0))</f>
        <v/>
      </c>
      <c r="I98" s="11"/>
      <c r="J98" s="11"/>
      <c r="K98" s="11" t="str">
        <f aca="false">IF($F98="","",$F98-$I98-$J98)</f>
        <v/>
      </c>
      <c r="L98" s="11" t="str">
        <f aca="false">IF($K98="","",$K98-$H98)</f>
        <v/>
      </c>
      <c r="M98" s="12" t="str">
        <f aca="false">IF(OR($F98="",$F98=0),"",$L98/$F98)</f>
        <v/>
      </c>
      <c r="N98" s="14"/>
      <c r="O98" s="14"/>
      <c r="P98" s="14"/>
      <c r="Q98" s="14"/>
    </row>
    <row r="99" customFormat="false" ht="15" hidden="false" customHeight="false" outlineLevel="0" collapsed="false">
      <c r="A99" s="16"/>
      <c r="B99" s="14"/>
      <c r="C99" s="14" t="str">
        <f aca="false">IFERROR(IF($B99="","",INDEX(Inventory!$B$3:$B$253,MATCH($B99,Inventory!$A$3:$A$253,0))),"")</f>
        <v/>
      </c>
      <c r="D99" s="15"/>
      <c r="E99" s="11"/>
      <c r="F99" s="11" t="str">
        <f aca="false">IF($D99="","",$D99*$E99)</f>
        <v/>
      </c>
      <c r="G99" s="11" t="str">
        <f aca="false">IFERROR(IF($B99="","",INDEX(Inventory!$G$3:$G$253,MATCH($B99,Inventory!$A$3:$A$253,0))),"")</f>
        <v/>
      </c>
      <c r="H99" s="11" t="str">
        <f aca="false">IF($D99="","",$D99*IFERROR($G99+0,0))</f>
        <v/>
      </c>
      <c r="I99" s="11"/>
      <c r="J99" s="11"/>
      <c r="K99" s="11" t="str">
        <f aca="false">IF($F99="","",$F99-$I99-$J99)</f>
        <v/>
      </c>
      <c r="L99" s="11" t="str">
        <f aca="false">IF($K99="","",$K99-$H99)</f>
        <v/>
      </c>
      <c r="M99" s="12" t="str">
        <f aca="false">IF(OR($F99="",$F99=0),"",$L99/$F99)</f>
        <v/>
      </c>
      <c r="N99" s="14"/>
      <c r="O99" s="14"/>
      <c r="P99" s="14"/>
      <c r="Q99" s="14"/>
    </row>
    <row r="100" customFormat="false" ht="15" hidden="false" customHeight="false" outlineLevel="0" collapsed="false">
      <c r="A100" s="16"/>
      <c r="B100" s="14"/>
      <c r="C100" s="14" t="str">
        <f aca="false">IFERROR(IF($B100="","",INDEX(Inventory!$B$3:$B$253,MATCH($B100,Inventory!$A$3:$A$253,0))),"")</f>
        <v/>
      </c>
      <c r="D100" s="15"/>
      <c r="E100" s="11"/>
      <c r="F100" s="11" t="str">
        <f aca="false">IF($D100="","",$D100*$E100)</f>
        <v/>
      </c>
      <c r="G100" s="11" t="str">
        <f aca="false">IFERROR(IF($B100="","",INDEX(Inventory!$G$3:$G$253,MATCH($B100,Inventory!$A$3:$A$253,0))),"")</f>
        <v/>
      </c>
      <c r="H100" s="11" t="str">
        <f aca="false">IF($D100="","",$D100*IFERROR($G100+0,0))</f>
        <v/>
      </c>
      <c r="I100" s="11"/>
      <c r="J100" s="11"/>
      <c r="K100" s="11" t="str">
        <f aca="false">IF($F100="","",$F100-$I100-$J100)</f>
        <v/>
      </c>
      <c r="L100" s="11" t="str">
        <f aca="false">IF($K100="","",$K100-$H100)</f>
        <v/>
      </c>
      <c r="M100" s="12" t="str">
        <f aca="false">IF(OR($F100="",$F100=0),"",$L100/$F100)</f>
        <v/>
      </c>
      <c r="N100" s="14"/>
      <c r="O100" s="14"/>
      <c r="P100" s="14"/>
      <c r="Q100" s="14"/>
    </row>
    <row r="101" customFormat="false" ht="15" hidden="false" customHeight="false" outlineLevel="0" collapsed="false">
      <c r="A101" s="16"/>
      <c r="B101" s="14"/>
      <c r="C101" s="14" t="str">
        <f aca="false">IFERROR(IF($B101="","",INDEX(Inventory!$B$3:$B$253,MATCH($B101,Inventory!$A$3:$A$253,0))),"")</f>
        <v/>
      </c>
      <c r="D101" s="15"/>
      <c r="E101" s="11"/>
      <c r="F101" s="11" t="str">
        <f aca="false">IF($D101="","",$D101*$E101)</f>
        <v/>
      </c>
      <c r="G101" s="11" t="str">
        <f aca="false">IFERROR(IF($B101="","",INDEX(Inventory!$G$3:$G$253,MATCH($B101,Inventory!$A$3:$A$253,0))),"")</f>
        <v/>
      </c>
      <c r="H101" s="11" t="str">
        <f aca="false">IF($D101="","",$D101*IFERROR($G101+0,0))</f>
        <v/>
      </c>
      <c r="I101" s="11"/>
      <c r="J101" s="11"/>
      <c r="K101" s="11" t="str">
        <f aca="false">IF($F101="","",$F101-$I101-$J101)</f>
        <v/>
      </c>
      <c r="L101" s="11" t="str">
        <f aca="false">IF($K101="","",$K101-$H101)</f>
        <v/>
      </c>
      <c r="M101" s="12" t="str">
        <f aca="false">IF(OR($F101="",$F101=0),"",$L101/$F101)</f>
        <v/>
      </c>
      <c r="N101" s="14"/>
      <c r="O101" s="14"/>
      <c r="P101" s="14"/>
      <c r="Q101" s="14"/>
    </row>
    <row r="102" customFormat="false" ht="15" hidden="false" customHeight="false" outlineLevel="0" collapsed="false">
      <c r="A102" s="16"/>
      <c r="B102" s="14"/>
      <c r="C102" s="14" t="str">
        <f aca="false">IFERROR(IF($B102="","",INDEX(Inventory!$B$3:$B$253,MATCH($B102,Inventory!$A$3:$A$253,0))),"")</f>
        <v/>
      </c>
      <c r="D102" s="15"/>
      <c r="E102" s="11"/>
      <c r="F102" s="11" t="str">
        <f aca="false">IF($D102="","",$D102*$E102)</f>
        <v/>
      </c>
      <c r="G102" s="11" t="str">
        <f aca="false">IFERROR(IF($B102="","",INDEX(Inventory!$G$3:$G$253,MATCH($B102,Inventory!$A$3:$A$253,0))),"")</f>
        <v/>
      </c>
      <c r="H102" s="11" t="str">
        <f aca="false">IF($D102="","",$D102*IFERROR($G102+0,0))</f>
        <v/>
      </c>
      <c r="I102" s="11"/>
      <c r="J102" s="11"/>
      <c r="K102" s="11" t="str">
        <f aca="false">IF($F102="","",$F102-$I102-$J102)</f>
        <v/>
      </c>
      <c r="L102" s="11" t="str">
        <f aca="false">IF($K102="","",$K102-$H102)</f>
        <v/>
      </c>
      <c r="M102" s="12" t="str">
        <f aca="false">IF(OR($F102="",$F102=0),"",$L102/$F102)</f>
        <v/>
      </c>
      <c r="N102" s="14"/>
      <c r="O102" s="14"/>
      <c r="P102" s="14"/>
      <c r="Q102" s="14"/>
    </row>
    <row r="103" customFormat="false" ht="15" hidden="false" customHeight="false" outlineLevel="0" collapsed="false">
      <c r="A103" s="16"/>
      <c r="B103" s="14"/>
      <c r="C103" s="14" t="str">
        <f aca="false">IFERROR(IF($B103="","",INDEX(Inventory!$B$3:$B$253,MATCH($B103,Inventory!$A$3:$A$253,0))),"")</f>
        <v/>
      </c>
      <c r="D103" s="15"/>
      <c r="E103" s="11"/>
      <c r="F103" s="11" t="str">
        <f aca="false">IF($D103="","",$D103*$E103)</f>
        <v/>
      </c>
      <c r="G103" s="11" t="str">
        <f aca="false">IFERROR(IF($B103="","",INDEX(Inventory!$G$3:$G$253,MATCH($B103,Inventory!$A$3:$A$253,0))),"")</f>
        <v/>
      </c>
      <c r="H103" s="11" t="str">
        <f aca="false">IF($D103="","",$D103*IFERROR($G103+0,0))</f>
        <v/>
      </c>
      <c r="I103" s="11"/>
      <c r="J103" s="11"/>
      <c r="K103" s="11" t="str">
        <f aca="false">IF($F103="","",$F103-$I103-$J103)</f>
        <v/>
      </c>
      <c r="L103" s="11" t="str">
        <f aca="false">IF($K103="","",$K103-$H103)</f>
        <v/>
      </c>
      <c r="M103" s="12" t="str">
        <f aca="false">IF(OR($F103="",$F103=0),"",$L103/$F103)</f>
        <v/>
      </c>
      <c r="N103" s="14"/>
      <c r="O103" s="14"/>
      <c r="P103" s="14"/>
      <c r="Q103" s="14"/>
    </row>
    <row r="104" customFormat="false" ht="15" hidden="false" customHeight="false" outlineLevel="0" collapsed="false">
      <c r="A104" s="16"/>
      <c r="B104" s="14"/>
      <c r="C104" s="14" t="str">
        <f aca="false">IFERROR(IF($B104="","",INDEX(Inventory!$B$3:$B$253,MATCH($B104,Inventory!$A$3:$A$253,0))),"")</f>
        <v/>
      </c>
      <c r="D104" s="15"/>
      <c r="E104" s="11"/>
      <c r="F104" s="11" t="str">
        <f aca="false">IF($D104="","",$D104*$E104)</f>
        <v/>
      </c>
      <c r="G104" s="11" t="str">
        <f aca="false">IFERROR(IF($B104="","",INDEX(Inventory!$G$3:$G$253,MATCH($B104,Inventory!$A$3:$A$253,0))),"")</f>
        <v/>
      </c>
      <c r="H104" s="11" t="str">
        <f aca="false">IF($D104="","",$D104*IFERROR($G104+0,0))</f>
        <v/>
      </c>
      <c r="I104" s="11"/>
      <c r="J104" s="11"/>
      <c r="K104" s="11" t="str">
        <f aca="false">IF($F104="","",$F104-$I104-$J104)</f>
        <v/>
      </c>
      <c r="L104" s="11" t="str">
        <f aca="false">IF($K104="","",$K104-$H104)</f>
        <v/>
      </c>
      <c r="M104" s="12" t="str">
        <f aca="false">IF(OR($F104="",$F104=0),"",$L104/$F104)</f>
        <v/>
      </c>
      <c r="N104" s="14"/>
      <c r="O104" s="14"/>
      <c r="P104" s="14"/>
      <c r="Q104" s="14"/>
    </row>
    <row r="105" customFormat="false" ht="15" hidden="false" customHeight="false" outlineLevel="0" collapsed="false">
      <c r="A105" s="16"/>
      <c r="B105" s="14"/>
      <c r="C105" s="14" t="str">
        <f aca="false">IFERROR(IF($B105="","",INDEX(Inventory!$B$3:$B$253,MATCH($B105,Inventory!$A$3:$A$253,0))),"")</f>
        <v/>
      </c>
      <c r="D105" s="15"/>
      <c r="E105" s="11"/>
      <c r="F105" s="11" t="str">
        <f aca="false">IF($D105="","",$D105*$E105)</f>
        <v/>
      </c>
      <c r="G105" s="11" t="str">
        <f aca="false">IFERROR(IF($B105="","",INDEX(Inventory!$G$3:$G$253,MATCH($B105,Inventory!$A$3:$A$253,0))),"")</f>
        <v/>
      </c>
      <c r="H105" s="11" t="str">
        <f aca="false">IF($D105="","",$D105*IFERROR($G105+0,0))</f>
        <v/>
      </c>
      <c r="I105" s="11"/>
      <c r="J105" s="11"/>
      <c r="K105" s="11" t="str">
        <f aca="false">IF($F105="","",$F105-$I105-$J105)</f>
        <v/>
      </c>
      <c r="L105" s="11" t="str">
        <f aca="false">IF($K105="","",$K105-$H105)</f>
        <v/>
      </c>
      <c r="M105" s="12" t="str">
        <f aca="false">IF(OR($F105="",$F105=0),"",$L105/$F105)</f>
        <v/>
      </c>
      <c r="N105" s="14"/>
      <c r="O105" s="14"/>
      <c r="P105" s="14"/>
      <c r="Q105" s="14"/>
    </row>
    <row r="106" customFormat="false" ht="15" hidden="false" customHeight="false" outlineLevel="0" collapsed="false">
      <c r="A106" s="16"/>
      <c r="B106" s="14"/>
      <c r="C106" s="14" t="str">
        <f aca="false">IFERROR(IF($B106="","",INDEX(Inventory!$B$3:$B$253,MATCH($B106,Inventory!$A$3:$A$253,0))),"")</f>
        <v/>
      </c>
      <c r="D106" s="15"/>
      <c r="E106" s="11"/>
      <c r="F106" s="11" t="str">
        <f aca="false">IF($D106="","",$D106*$E106)</f>
        <v/>
      </c>
      <c r="G106" s="11" t="str">
        <f aca="false">IFERROR(IF($B106="","",INDEX(Inventory!$G$3:$G$253,MATCH($B106,Inventory!$A$3:$A$253,0))),"")</f>
        <v/>
      </c>
      <c r="H106" s="11" t="str">
        <f aca="false">IF($D106="","",$D106*IFERROR($G106+0,0))</f>
        <v/>
      </c>
      <c r="I106" s="11"/>
      <c r="J106" s="11"/>
      <c r="K106" s="11" t="str">
        <f aca="false">IF($F106="","",$F106-$I106-$J106)</f>
        <v/>
      </c>
      <c r="L106" s="11" t="str">
        <f aca="false">IF($K106="","",$K106-$H106)</f>
        <v/>
      </c>
      <c r="M106" s="12" t="str">
        <f aca="false">IF(OR($F106="",$F106=0),"",$L106/$F106)</f>
        <v/>
      </c>
      <c r="N106" s="14"/>
      <c r="O106" s="14"/>
      <c r="P106" s="14"/>
      <c r="Q106" s="14"/>
    </row>
    <row r="107" customFormat="false" ht="15" hidden="false" customHeight="false" outlineLevel="0" collapsed="false">
      <c r="A107" s="16"/>
      <c r="B107" s="14"/>
      <c r="C107" s="14" t="str">
        <f aca="false">IFERROR(IF($B107="","",INDEX(Inventory!$B$3:$B$253,MATCH($B107,Inventory!$A$3:$A$253,0))),"")</f>
        <v/>
      </c>
      <c r="D107" s="15"/>
      <c r="E107" s="11"/>
      <c r="F107" s="11" t="str">
        <f aca="false">IF($D107="","",$D107*$E107)</f>
        <v/>
      </c>
      <c r="G107" s="11" t="str">
        <f aca="false">IFERROR(IF($B107="","",INDEX(Inventory!$G$3:$G$253,MATCH($B107,Inventory!$A$3:$A$253,0))),"")</f>
        <v/>
      </c>
      <c r="H107" s="11" t="str">
        <f aca="false">IF($D107="","",$D107*IFERROR($G107+0,0))</f>
        <v/>
      </c>
      <c r="I107" s="11"/>
      <c r="J107" s="11"/>
      <c r="K107" s="11" t="str">
        <f aca="false">IF($F107="","",$F107-$I107-$J107)</f>
        <v/>
      </c>
      <c r="L107" s="11" t="str">
        <f aca="false">IF($K107="","",$K107-$H107)</f>
        <v/>
      </c>
      <c r="M107" s="12" t="str">
        <f aca="false">IF(OR($F107="",$F107=0),"",$L107/$F107)</f>
        <v/>
      </c>
      <c r="N107" s="14"/>
      <c r="O107" s="14"/>
      <c r="P107" s="14"/>
      <c r="Q107" s="14"/>
    </row>
    <row r="108" customFormat="false" ht="15" hidden="false" customHeight="false" outlineLevel="0" collapsed="false">
      <c r="A108" s="16"/>
      <c r="B108" s="14"/>
      <c r="C108" s="14" t="str">
        <f aca="false">IFERROR(IF($B108="","",INDEX(Inventory!$B$3:$B$253,MATCH($B108,Inventory!$A$3:$A$253,0))),"")</f>
        <v/>
      </c>
      <c r="D108" s="15"/>
      <c r="E108" s="11"/>
      <c r="F108" s="11" t="str">
        <f aca="false">IF($D108="","",$D108*$E108)</f>
        <v/>
      </c>
      <c r="G108" s="11" t="str">
        <f aca="false">IFERROR(IF($B108="","",INDEX(Inventory!$G$3:$G$253,MATCH($B108,Inventory!$A$3:$A$253,0))),"")</f>
        <v/>
      </c>
      <c r="H108" s="11" t="str">
        <f aca="false">IF($D108="","",$D108*IFERROR($G108+0,0))</f>
        <v/>
      </c>
      <c r="I108" s="11"/>
      <c r="J108" s="11"/>
      <c r="K108" s="11" t="str">
        <f aca="false">IF($F108="","",$F108-$I108-$J108)</f>
        <v/>
      </c>
      <c r="L108" s="11" t="str">
        <f aca="false">IF($K108="","",$K108-$H108)</f>
        <v/>
      </c>
      <c r="M108" s="12" t="str">
        <f aca="false">IF(OR($F108="",$F108=0),"",$L108/$F108)</f>
        <v/>
      </c>
      <c r="N108" s="14"/>
      <c r="O108" s="14"/>
      <c r="P108" s="14"/>
      <c r="Q108" s="14"/>
    </row>
    <row r="109" customFormat="false" ht="15" hidden="false" customHeight="false" outlineLevel="0" collapsed="false">
      <c r="A109" s="16"/>
      <c r="B109" s="14"/>
      <c r="C109" s="14" t="str">
        <f aca="false">IFERROR(IF($B109="","",INDEX(Inventory!$B$3:$B$253,MATCH($B109,Inventory!$A$3:$A$253,0))),"")</f>
        <v/>
      </c>
      <c r="D109" s="15"/>
      <c r="E109" s="11"/>
      <c r="F109" s="11" t="str">
        <f aca="false">IF($D109="","",$D109*$E109)</f>
        <v/>
      </c>
      <c r="G109" s="11" t="str">
        <f aca="false">IFERROR(IF($B109="","",INDEX(Inventory!$G$3:$G$253,MATCH($B109,Inventory!$A$3:$A$253,0))),"")</f>
        <v/>
      </c>
      <c r="H109" s="11" t="str">
        <f aca="false">IF($D109="","",$D109*IFERROR($G109+0,0))</f>
        <v/>
      </c>
      <c r="I109" s="11"/>
      <c r="J109" s="11"/>
      <c r="K109" s="11" t="str">
        <f aca="false">IF($F109="","",$F109-$I109-$J109)</f>
        <v/>
      </c>
      <c r="L109" s="11" t="str">
        <f aca="false">IF($K109="","",$K109-$H109)</f>
        <v/>
      </c>
      <c r="M109" s="12" t="str">
        <f aca="false">IF(OR($F109="",$F109=0),"",$L109/$F109)</f>
        <v/>
      </c>
      <c r="N109" s="14"/>
      <c r="O109" s="14"/>
      <c r="P109" s="14"/>
      <c r="Q109" s="14"/>
    </row>
    <row r="110" customFormat="false" ht="15" hidden="false" customHeight="false" outlineLevel="0" collapsed="false">
      <c r="A110" s="16"/>
      <c r="B110" s="14"/>
      <c r="C110" s="14" t="str">
        <f aca="false">IFERROR(IF($B110="","",INDEX(Inventory!$B$3:$B$253,MATCH($B110,Inventory!$A$3:$A$253,0))),"")</f>
        <v/>
      </c>
      <c r="D110" s="15"/>
      <c r="E110" s="11"/>
      <c r="F110" s="11" t="str">
        <f aca="false">IF($D110="","",$D110*$E110)</f>
        <v/>
      </c>
      <c r="G110" s="11" t="str">
        <f aca="false">IFERROR(IF($B110="","",INDEX(Inventory!$G$3:$G$253,MATCH($B110,Inventory!$A$3:$A$253,0))),"")</f>
        <v/>
      </c>
      <c r="H110" s="11" t="str">
        <f aca="false">IF($D110="","",$D110*IFERROR($G110+0,0))</f>
        <v/>
      </c>
      <c r="I110" s="11"/>
      <c r="J110" s="11"/>
      <c r="K110" s="11" t="str">
        <f aca="false">IF($F110="","",$F110-$I110-$J110)</f>
        <v/>
      </c>
      <c r="L110" s="11" t="str">
        <f aca="false">IF($K110="","",$K110-$H110)</f>
        <v/>
      </c>
      <c r="M110" s="12" t="str">
        <f aca="false">IF(OR($F110="",$F110=0),"",$L110/$F110)</f>
        <v/>
      </c>
      <c r="N110" s="14"/>
      <c r="O110" s="14"/>
      <c r="P110" s="14"/>
      <c r="Q110" s="14"/>
    </row>
    <row r="111" customFormat="false" ht="15" hidden="false" customHeight="false" outlineLevel="0" collapsed="false">
      <c r="A111" s="16"/>
      <c r="B111" s="14"/>
      <c r="C111" s="14" t="str">
        <f aca="false">IFERROR(IF($B111="","",INDEX(Inventory!$B$3:$B$253,MATCH($B111,Inventory!$A$3:$A$253,0))),"")</f>
        <v/>
      </c>
      <c r="D111" s="15"/>
      <c r="E111" s="11"/>
      <c r="F111" s="11" t="str">
        <f aca="false">IF($D111="","",$D111*$E111)</f>
        <v/>
      </c>
      <c r="G111" s="11" t="str">
        <f aca="false">IFERROR(IF($B111="","",INDEX(Inventory!$G$3:$G$253,MATCH($B111,Inventory!$A$3:$A$253,0))),"")</f>
        <v/>
      </c>
      <c r="H111" s="11" t="str">
        <f aca="false">IF($D111="","",$D111*IFERROR($G111+0,0))</f>
        <v/>
      </c>
      <c r="I111" s="11"/>
      <c r="J111" s="11"/>
      <c r="K111" s="11" t="str">
        <f aca="false">IF($F111="","",$F111-$I111-$J111)</f>
        <v/>
      </c>
      <c r="L111" s="11" t="str">
        <f aca="false">IF($K111="","",$K111-$H111)</f>
        <v/>
      </c>
      <c r="M111" s="12" t="str">
        <f aca="false">IF(OR($F111="",$F111=0),"",$L111/$F111)</f>
        <v/>
      </c>
      <c r="N111" s="14"/>
      <c r="O111" s="14"/>
      <c r="P111" s="14"/>
      <c r="Q111" s="14"/>
    </row>
    <row r="112" customFormat="false" ht="15" hidden="false" customHeight="false" outlineLevel="0" collapsed="false">
      <c r="A112" s="16"/>
      <c r="B112" s="14"/>
      <c r="C112" s="14" t="str">
        <f aca="false">IFERROR(IF($B112="","",INDEX(Inventory!$B$3:$B$253,MATCH($B112,Inventory!$A$3:$A$253,0))),"")</f>
        <v/>
      </c>
      <c r="D112" s="15"/>
      <c r="E112" s="11"/>
      <c r="F112" s="11" t="str">
        <f aca="false">IF($D112="","",$D112*$E112)</f>
        <v/>
      </c>
      <c r="G112" s="11" t="str">
        <f aca="false">IFERROR(IF($B112="","",INDEX(Inventory!$G$3:$G$253,MATCH($B112,Inventory!$A$3:$A$253,0))),"")</f>
        <v/>
      </c>
      <c r="H112" s="11" t="str">
        <f aca="false">IF($D112="","",$D112*IFERROR($G112+0,0))</f>
        <v/>
      </c>
      <c r="I112" s="11"/>
      <c r="J112" s="11"/>
      <c r="K112" s="11" t="str">
        <f aca="false">IF($F112="","",$F112-$I112-$J112)</f>
        <v/>
      </c>
      <c r="L112" s="11" t="str">
        <f aca="false">IF($K112="","",$K112-$H112)</f>
        <v/>
      </c>
      <c r="M112" s="12" t="str">
        <f aca="false">IF(OR($F112="",$F112=0),"",$L112/$F112)</f>
        <v/>
      </c>
      <c r="N112" s="14"/>
      <c r="O112" s="14"/>
      <c r="P112" s="14"/>
      <c r="Q112" s="14"/>
    </row>
    <row r="113" customFormat="false" ht="15" hidden="false" customHeight="false" outlineLevel="0" collapsed="false">
      <c r="A113" s="16"/>
      <c r="B113" s="14"/>
      <c r="C113" s="14" t="str">
        <f aca="false">IFERROR(IF($B113="","",INDEX(Inventory!$B$3:$B$253,MATCH($B113,Inventory!$A$3:$A$253,0))),"")</f>
        <v/>
      </c>
      <c r="D113" s="15"/>
      <c r="E113" s="11"/>
      <c r="F113" s="11" t="str">
        <f aca="false">IF($D113="","",$D113*$E113)</f>
        <v/>
      </c>
      <c r="G113" s="11" t="str">
        <f aca="false">IFERROR(IF($B113="","",INDEX(Inventory!$G$3:$G$253,MATCH($B113,Inventory!$A$3:$A$253,0))),"")</f>
        <v/>
      </c>
      <c r="H113" s="11" t="str">
        <f aca="false">IF($D113="","",$D113*IFERROR($G113+0,0))</f>
        <v/>
      </c>
      <c r="I113" s="11"/>
      <c r="J113" s="11"/>
      <c r="K113" s="11" t="str">
        <f aca="false">IF($F113="","",$F113-$I113-$J113)</f>
        <v/>
      </c>
      <c r="L113" s="11" t="str">
        <f aca="false">IF($K113="","",$K113-$H113)</f>
        <v/>
      </c>
      <c r="M113" s="12" t="str">
        <f aca="false">IF(OR($F113="",$F113=0),"",$L113/$F113)</f>
        <v/>
      </c>
      <c r="N113" s="14"/>
      <c r="O113" s="14"/>
      <c r="P113" s="14"/>
      <c r="Q113" s="14"/>
    </row>
    <row r="114" customFormat="false" ht="15" hidden="false" customHeight="false" outlineLevel="0" collapsed="false">
      <c r="A114" s="16"/>
      <c r="B114" s="14"/>
      <c r="C114" s="14" t="str">
        <f aca="false">IFERROR(IF($B114="","",INDEX(Inventory!$B$3:$B$253,MATCH($B114,Inventory!$A$3:$A$253,0))),"")</f>
        <v/>
      </c>
      <c r="D114" s="15"/>
      <c r="E114" s="11"/>
      <c r="F114" s="11" t="str">
        <f aca="false">IF($D114="","",$D114*$E114)</f>
        <v/>
      </c>
      <c r="G114" s="11" t="str">
        <f aca="false">IFERROR(IF($B114="","",INDEX(Inventory!$G$3:$G$253,MATCH($B114,Inventory!$A$3:$A$253,0))),"")</f>
        <v/>
      </c>
      <c r="H114" s="11" t="str">
        <f aca="false">IF($D114="","",$D114*IFERROR($G114+0,0))</f>
        <v/>
      </c>
      <c r="I114" s="11"/>
      <c r="J114" s="11"/>
      <c r="K114" s="11" t="str">
        <f aca="false">IF($F114="","",$F114-$I114-$J114)</f>
        <v/>
      </c>
      <c r="L114" s="11" t="str">
        <f aca="false">IF($K114="","",$K114-$H114)</f>
        <v/>
      </c>
      <c r="M114" s="12" t="str">
        <f aca="false">IF(OR($F114="",$F114=0),"",$L114/$F114)</f>
        <v/>
      </c>
      <c r="N114" s="14"/>
      <c r="O114" s="14"/>
      <c r="P114" s="14"/>
      <c r="Q114" s="14"/>
    </row>
    <row r="115" customFormat="false" ht="15" hidden="false" customHeight="false" outlineLevel="0" collapsed="false">
      <c r="A115" s="16"/>
      <c r="B115" s="14"/>
      <c r="C115" s="14" t="str">
        <f aca="false">IFERROR(IF($B115="","",INDEX(Inventory!$B$3:$B$253,MATCH($B115,Inventory!$A$3:$A$253,0))),"")</f>
        <v/>
      </c>
      <c r="D115" s="15"/>
      <c r="E115" s="11"/>
      <c r="F115" s="11" t="str">
        <f aca="false">IF($D115="","",$D115*$E115)</f>
        <v/>
      </c>
      <c r="G115" s="11" t="str">
        <f aca="false">IFERROR(IF($B115="","",INDEX(Inventory!$G$3:$G$253,MATCH($B115,Inventory!$A$3:$A$253,0))),"")</f>
        <v/>
      </c>
      <c r="H115" s="11" t="str">
        <f aca="false">IF($D115="","",$D115*IFERROR($G115+0,0))</f>
        <v/>
      </c>
      <c r="I115" s="11"/>
      <c r="J115" s="11"/>
      <c r="K115" s="11" t="str">
        <f aca="false">IF($F115="","",$F115-$I115-$J115)</f>
        <v/>
      </c>
      <c r="L115" s="11" t="str">
        <f aca="false">IF($K115="","",$K115-$H115)</f>
        <v/>
      </c>
      <c r="M115" s="12" t="str">
        <f aca="false">IF(OR($F115="",$F115=0),"",$L115/$F115)</f>
        <v/>
      </c>
      <c r="N115" s="14"/>
      <c r="O115" s="14"/>
      <c r="P115" s="14"/>
      <c r="Q115" s="14"/>
    </row>
    <row r="116" customFormat="false" ht="15" hidden="false" customHeight="false" outlineLevel="0" collapsed="false">
      <c r="A116" s="16"/>
      <c r="B116" s="14"/>
      <c r="C116" s="14" t="str">
        <f aca="false">IFERROR(IF($B116="","",INDEX(Inventory!$B$3:$B$253,MATCH($B116,Inventory!$A$3:$A$253,0))),"")</f>
        <v/>
      </c>
      <c r="D116" s="15"/>
      <c r="E116" s="11"/>
      <c r="F116" s="11" t="str">
        <f aca="false">IF($D116="","",$D116*$E116)</f>
        <v/>
      </c>
      <c r="G116" s="11" t="str">
        <f aca="false">IFERROR(IF($B116="","",INDEX(Inventory!$G$3:$G$253,MATCH($B116,Inventory!$A$3:$A$253,0))),"")</f>
        <v/>
      </c>
      <c r="H116" s="11" t="str">
        <f aca="false">IF($D116="","",$D116*IFERROR($G116+0,0))</f>
        <v/>
      </c>
      <c r="I116" s="11"/>
      <c r="J116" s="11"/>
      <c r="K116" s="11" t="str">
        <f aca="false">IF($F116="","",$F116-$I116-$J116)</f>
        <v/>
      </c>
      <c r="L116" s="11" t="str">
        <f aca="false">IF($K116="","",$K116-$H116)</f>
        <v/>
      </c>
      <c r="M116" s="12" t="str">
        <f aca="false">IF(OR($F116="",$F116=0),"",$L116/$F116)</f>
        <v/>
      </c>
      <c r="N116" s="14"/>
      <c r="O116" s="14"/>
      <c r="P116" s="14"/>
      <c r="Q116" s="14"/>
    </row>
    <row r="117" customFormat="false" ht="15" hidden="false" customHeight="false" outlineLevel="0" collapsed="false">
      <c r="A117" s="16"/>
      <c r="B117" s="14"/>
      <c r="C117" s="14" t="str">
        <f aca="false">IFERROR(IF($B117="","",INDEX(Inventory!$B$3:$B$253,MATCH($B117,Inventory!$A$3:$A$253,0))),"")</f>
        <v/>
      </c>
      <c r="D117" s="15"/>
      <c r="E117" s="11"/>
      <c r="F117" s="11" t="str">
        <f aca="false">IF($D117="","",$D117*$E117)</f>
        <v/>
      </c>
      <c r="G117" s="11" t="str">
        <f aca="false">IFERROR(IF($B117="","",INDEX(Inventory!$G$3:$G$253,MATCH($B117,Inventory!$A$3:$A$253,0))),"")</f>
        <v/>
      </c>
      <c r="H117" s="11" t="str">
        <f aca="false">IF($D117="","",$D117*IFERROR($G117+0,0))</f>
        <v/>
      </c>
      <c r="I117" s="11"/>
      <c r="J117" s="11"/>
      <c r="K117" s="11" t="str">
        <f aca="false">IF($F117="","",$F117-$I117-$J117)</f>
        <v/>
      </c>
      <c r="L117" s="11" t="str">
        <f aca="false">IF($K117="","",$K117-$H117)</f>
        <v/>
      </c>
      <c r="M117" s="12" t="str">
        <f aca="false">IF(OR($F117="",$F117=0),"",$L117/$F117)</f>
        <v/>
      </c>
      <c r="N117" s="14"/>
      <c r="O117" s="14"/>
      <c r="P117" s="14"/>
      <c r="Q117" s="14"/>
    </row>
    <row r="118" customFormat="false" ht="15" hidden="false" customHeight="false" outlineLevel="0" collapsed="false">
      <c r="A118" s="16"/>
      <c r="B118" s="14"/>
      <c r="C118" s="14" t="str">
        <f aca="false">IFERROR(IF($B118="","",INDEX(Inventory!$B$3:$B$253,MATCH($B118,Inventory!$A$3:$A$253,0))),"")</f>
        <v/>
      </c>
      <c r="D118" s="15"/>
      <c r="E118" s="11"/>
      <c r="F118" s="11" t="str">
        <f aca="false">IF($D118="","",$D118*$E118)</f>
        <v/>
      </c>
      <c r="G118" s="11" t="str">
        <f aca="false">IFERROR(IF($B118="","",INDEX(Inventory!$G$3:$G$253,MATCH($B118,Inventory!$A$3:$A$253,0))),"")</f>
        <v/>
      </c>
      <c r="H118" s="11" t="str">
        <f aca="false">IF($D118="","",$D118*IFERROR($G118+0,0))</f>
        <v/>
      </c>
      <c r="I118" s="11"/>
      <c r="J118" s="11"/>
      <c r="K118" s="11" t="str">
        <f aca="false">IF($F118="","",$F118-$I118-$J118)</f>
        <v/>
      </c>
      <c r="L118" s="11" t="str">
        <f aca="false">IF($K118="","",$K118-$H118)</f>
        <v/>
      </c>
      <c r="M118" s="12" t="str">
        <f aca="false">IF(OR($F118="",$F118=0),"",$L118/$F118)</f>
        <v/>
      </c>
      <c r="N118" s="14"/>
      <c r="O118" s="14"/>
      <c r="P118" s="14"/>
      <c r="Q118" s="14"/>
    </row>
    <row r="119" customFormat="false" ht="15" hidden="false" customHeight="false" outlineLevel="0" collapsed="false">
      <c r="A119" s="16"/>
      <c r="B119" s="14"/>
      <c r="C119" s="14" t="str">
        <f aca="false">IFERROR(IF($B119="","",INDEX(Inventory!$B$3:$B$253,MATCH($B119,Inventory!$A$3:$A$253,0))),"")</f>
        <v/>
      </c>
      <c r="D119" s="15"/>
      <c r="E119" s="11"/>
      <c r="F119" s="11" t="str">
        <f aca="false">IF($D119="","",$D119*$E119)</f>
        <v/>
      </c>
      <c r="G119" s="11" t="str">
        <f aca="false">IFERROR(IF($B119="","",INDEX(Inventory!$G$3:$G$253,MATCH($B119,Inventory!$A$3:$A$253,0))),"")</f>
        <v/>
      </c>
      <c r="H119" s="11" t="str">
        <f aca="false">IF($D119="","",$D119*IFERROR($G119+0,0))</f>
        <v/>
      </c>
      <c r="I119" s="11"/>
      <c r="J119" s="11"/>
      <c r="K119" s="11" t="str">
        <f aca="false">IF($F119="","",$F119-$I119-$J119)</f>
        <v/>
      </c>
      <c r="L119" s="11" t="str">
        <f aca="false">IF($K119="","",$K119-$H119)</f>
        <v/>
      </c>
      <c r="M119" s="12" t="str">
        <f aca="false">IF(OR($F119="",$F119=0),"",$L119/$F119)</f>
        <v/>
      </c>
      <c r="N119" s="14"/>
      <c r="O119" s="14"/>
      <c r="P119" s="14"/>
      <c r="Q119" s="14"/>
    </row>
    <row r="120" customFormat="false" ht="15" hidden="false" customHeight="false" outlineLevel="0" collapsed="false">
      <c r="A120" s="16"/>
      <c r="B120" s="14"/>
      <c r="C120" s="14" t="str">
        <f aca="false">IFERROR(IF($B120="","",INDEX(Inventory!$B$3:$B$253,MATCH($B120,Inventory!$A$3:$A$253,0))),"")</f>
        <v/>
      </c>
      <c r="D120" s="15"/>
      <c r="E120" s="11"/>
      <c r="F120" s="11" t="str">
        <f aca="false">IF($D120="","",$D120*$E120)</f>
        <v/>
      </c>
      <c r="G120" s="11" t="str">
        <f aca="false">IFERROR(IF($B120="","",INDEX(Inventory!$G$3:$G$253,MATCH($B120,Inventory!$A$3:$A$253,0))),"")</f>
        <v/>
      </c>
      <c r="H120" s="11" t="str">
        <f aca="false">IF($D120="","",$D120*IFERROR($G120+0,0))</f>
        <v/>
      </c>
      <c r="I120" s="11"/>
      <c r="J120" s="11"/>
      <c r="K120" s="11" t="str">
        <f aca="false">IF($F120="","",$F120-$I120-$J120)</f>
        <v/>
      </c>
      <c r="L120" s="11" t="str">
        <f aca="false">IF($K120="","",$K120-$H120)</f>
        <v/>
      </c>
      <c r="M120" s="12" t="str">
        <f aca="false">IF(OR($F120="",$F120=0),"",$L120/$F120)</f>
        <v/>
      </c>
      <c r="N120" s="14"/>
      <c r="O120" s="14"/>
      <c r="P120" s="14"/>
      <c r="Q120" s="14"/>
    </row>
    <row r="121" customFormat="false" ht="15" hidden="false" customHeight="false" outlineLevel="0" collapsed="false">
      <c r="A121" s="16"/>
      <c r="B121" s="14"/>
      <c r="C121" s="14" t="str">
        <f aca="false">IFERROR(IF($B121="","",INDEX(Inventory!$B$3:$B$253,MATCH($B121,Inventory!$A$3:$A$253,0))),"")</f>
        <v/>
      </c>
      <c r="D121" s="15"/>
      <c r="E121" s="11"/>
      <c r="F121" s="11" t="str">
        <f aca="false">IF($D121="","",$D121*$E121)</f>
        <v/>
      </c>
      <c r="G121" s="11" t="str">
        <f aca="false">IFERROR(IF($B121="","",INDEX(Inventory!$G$3:$G$253,MATCH($B121,Inventory!$A$3:$A$253,0))),"")</f>
        <v/>
      </c>
      <c r="H121" s="11" t="str">
        <f aca="false">IF($D121="","",$D121*IFERROR($G121+0,0))</f>
        <v/>
      </c>
      <c r="I121" s="11"/>
      <c r="J121" s="11"/>
      <c r="K121" s="11" t="str">
        <f aca="false">IF($F121="","",$F121-$I121-$J121)</f>
        <v/>
      </c>
      <c r="L121" s="11" t="str">
        <f aca="false">IF($K121="","",$K121-$H121)</f>
        <v/>
      </c>
      <c r="M121" s="12" t="str">
        <f aca="false">IF(OR($F121="",$F121=0),"",$L121/$F121)</f>
        <v/>
      </c>
      <c r="N121" s="14"/>
      <c r="O121" s="14"/>
      <c r="P121" s="14"/>
      <c r="Q121" s="14"/>
    </row>
    <row r="122" customFormat="false" ht="15" hidden="false" customHeight="false" outlineLevel="0" collapsed="false">
      <c r="A122" s="16"/>
      <c r="B122" s="14"/>
      <c r="C122" s="14" t="str">
        <f aca="false">IFERROR(IF($B122="","",INDEX(Inventory!$B$3:$B$253,MATCH($B122,Inventory!$A$3:$A$253,0))),"")</f>
        <v/>
      </c>
      <c r="D122" s="15"/>
      <c r="E122" s="11"/>
      <c r="F122" s="11" t="str">
        <f aca="false">IF($D122="","",$D122*$E122)</f>
        <v/>
      </c>
      <c r="G122" s="11" t="str">
        <f aca="false">IFERROR(IF($B122="","",INDEX(Inventory!$G$3:$G$253,MATCH($B122,Inventory!$A$3:$A$253,0))),"")</f>
        <v/>
      </c>
      <c r="H122" s="11" t="str">
        <f aca="false">IF($D122="","",$D122*IFERROR($G122+0,0))</f>
        <v/>
      </c>
      <c r="I122" s="11"/>
      <c r="J122" s="11"/>
      <c r="K122" s="11" t="str">
        <f aca="false">IF($F122="","",$F122-$I122-$J122)</f>
        <v/>
      </c>
      <c r="L122" s="11" t="str">
        <f aca="false">IF($K122="","",$K122-$H122)</f>
        <v/>
      </c>
      <c r="M122" s="12" t="str">
        <f aca="false">IF(OR($F122="",$F122=0),"",$L122/$F122)</f>
        <v/>
      </c>
      <c r="N122" s="14"/>
      <c r="O122" s="14"/>
      <c r="P122" s="14"/>
      <c r="Q122" s="14"/>
    </row>
    <row r="123" customFormat="false" ht="15" hidden="false" customHeight="false" outlineLevel="0" collapsed="false">
      <c r="A123" s="16"/>
      <c r="B123" s="14"/>
      <c r="C123" s="14" t="str">
        <f aca="false">IFERROR(IF($B123="","",INDEX(Inventory!$B$3:$B$253,MATCH($B123,Inventory!$A$3:$A$253,0))),"")</f>
        <v/>
      </c>
      <c r="D123" s="15"/>
      <c r="E123" s="11"/>
      <c r="F123" s="11" t="str">
        <f aca="false">IF($D123="","",$D123*$E123)</f>
        <v/>
      </c>
      <c r="G123" s="11" t="str">
        <f aca="false">IFERROR(IF($B123="","",INDEX(Inventory!$G$3:$G$253,MATCH($B123,Inventory!$A$3:$A$253,0))),"")</f>
        <v/>
      </c>
      <c r="H123" s="11" t="str">
        <f aca="false">IF($D123="","",$D123*IFERROR($G123+0,0))</f>
        <v/>
      </c>
      <c r="I123" s="11"/>
      <c r="J123" s="11"/>
      <c r="K123" s="11" t="str">
        <f aca="false">IF($F123="","",$F123-$I123-$J123)</f>
        <v/>
      </c>
      <c r="L123" s="11" t="str">
        <f aca="false">IF($K123="","",$K123-$H123)</f>
        <v/>
      </c>
      <c r="M123" s="12" t="str">
        <f aca="false">IF(OR($F123="",$F123=0),"",$L123/$F123)</f>
        <v/>
      </c>
      <c r="N123" s="14"/>
      <c r="O123" s="14"/>
      <c r="P123" s="14"/>
      <c r="Q123" s="14"/>
    </row>
    <row r="124" customFormat="false" ht="15" hidden="false" customHeight="false" outlineLevel="0" collapsed="false">
      <c r="A124" s="16"/>
      <c r="B124" s="14"/>
      <c r="C124" s="14" t="str">
        <f aca="false">IFERROR(IF($B124="","",INDEX(Inventory!$B$3:$B$253,MATCH($B124,Inventory!$A$3:$A$253,0))),"")</f>
        <v/>
      </c>
      <c r="D124" s="15"/>
      <c r="E124" s="11"/>
      <c r="F124" s="11" t="str">
        <f aca="false">IF($D124="","",$D124*$E124)</f>
        <v/>
      </c>
      <c r="G124" s="11" t="str">
        <f aca="false">IFERROR(IF($B124="","",INDEX(Inventory!$G$3:$G$253,MATCH($B124,Inventory!$A$3:$A$253,0))),"")</f>
        <v/>
      </c>
      <c r="H124" s="11" t="str">
        <f aca="false">IF($D124="","",$D124*IFERROR($G124+0,0))</f>
        <v/>
      </c>
      <c r="I124" s="11"/>
      <c r="J124" s="11"/>
      <c r="K124" s="11" t="str">
        <f aca="false">IF($F124="","",$F124-$I124-$J124)</f>
        <v/>
      </c>
      <c r="L124" s="11" t="str">
        <f aca="false">IF($K124="","",$K124-$H124)</f>
        <v/>
      </c>
      <c r="M124" s="12" t="str">
        <f aca="false">IF(OR($F124="",$F124=0),"",$L124/$F124)</f>
        <v/>
      </c>
      <c r="N124" s="14"/>
      <c r="O124" s="14"/>
      <c r="P124" s="14"/>
      <c r="Q124" s="14"/>
    </row>
    <row r="125" customFormat="false" ht="15" hidden="false" customHeight="false" outlineLevel="0" collapsed="false">
      <c r="A125" s="16"/>
      <c r="B125" s="14"/>
      <c r="C125" s="14" t="str">
        <f aca="false">IFERROR(IF($B125="","",INDEX(Inventory!$B$3:$B$253,MATCH($B125,Inventory!$A$3:$A$253,0))),"")</f>
        <v/>
      </c>
      <c r="D125" s="15"/>
      <c r="E125" s="11"/>
      <c r="F125" s="11" t="str">
        <f aca="false">IF($D125="","",$D125*$E125)</f>
        <v/>
      </c>
      <c r="G125" s="11" t="str">
        <f aca="false">IFERROR(IF($B125="","",INDEX(Inventory!$G$3:$G$253,MATCH($B125,Inventory!$A$3:$A$253,0))),"")</f>
        <v/>
      </c>
      <c r="H125" s="11" t="str">
        <f aca="false">IF($D125="","",$D125*IFERROR($G125+0,0))</f>
        <v/>
      </c>
      <c r="I125" s="11"/>
      <c r="J125" s="11"/>
      <c r="K125" s="11" t="str">
        <f aca="false">IF($F125="","",$F125-$I125-$J125)</f>
        <v/>
      </c>
      <c r="L125" s="11" t="str">
        <f aca="false">IF($K125="","",$K125-$H125)</f>
        <v/>
      </c>
      <c r="M125" s="12" t="str">
        <f aca="false">IF(OR($F125="",$F125=0),"",$L125/$F125)</f>
        <v/>
      </c>
      <c r="N125" s="14"/>
      <c r="O125" s="14"/>
      <c r="P125" s="14"/>
      <c r="Q125" s="14"/>
    </row>
    <row r="126" customFormat="false" ht="15" hidden="false" customHeight="false" outlineLevel="0" collapsed="false">
      <c r="A126" s="16"/>
      <c r="B126" s="14"/>
      <c r="C126" s="14" t="str">
        <f aca="false">IFERROR(IF($B126="","",INDEX(Inventory!$B$3:$B$253,MATCH($B126,Inventory!$A$3:$A$253,0))),"")</f>
        <v/>
      </c>
      <c r="D126" s="15"/>
      <c r="E126" s="11"/>
      <c r="F126" s="11" t="str">
        <f aca="false">IF($D126="","",$D126*$E126)</f>
        <v/>
      </c>
      <c r="G126" s="11" t="str">
        <f aca="false">IFERROR(IF($B126="","",INDEX(Inventory!$G$3:$G$253,MATCH($B126,Inventory!$A$3:$A$253,0))),"")</f>
        <v/>
      </c>
      <c r="H126" s="11" t="str">
        <f aca="false">IF($D126="","",$D126*IFERROR($G126+0,0))</f>
        <v/>
      </c>
      <c r="I126" s="11"/>
      <c r="J126" s="11"/>
      <c r="K126" s="11" t="str">
        <f aca="false">IF($F126="","",$F126-$I126-$J126)</f>
        <v/>
      </c>
      <c r="L126" s="11" t="str">
        <f aca="false">IF($K126="","",$K126-$H126)</f>
        <v/>
      </c>
      <c r="M126" s="12" t="str">
        <f aca="false">IF(OR($F126="",$F126=0),"",$L126/$F126)</f>
        <v/>
      </c>
      <c r="N126" s="14"/>
      <c r="O126" s="14"/>
      <c r="P126" s="14"/>
      <c r="Q126" s="14"/>
    </row>
    <row r="127" customFormat="false" ht="15" hidden="false" customHeight="false" outlineLevel="0" collapsed="false">
      <c r="A127" s="16"/>
      <c r="B127" s="14"/>
      <c r="C127" s="14" t="str">
        <f aca="false">IFERROR(IF($B127="","",INDEX(Inventory!$B$3:$B$253,MATCH($B127,Inventory!$A$3:$A$253,0))),"")</f>
        <v/>
      </c>
      <c r="D127" s="15"/>
      <c r="E127" s="11"/>
      <c r="F127" s="11" t="str">
        <f aca="false">IF($D127="","",$D127*$E127)</f>
        <v/>
      </c>
      <c r="G127" s="11" t="str">
        <f aca="false">IFERROR(IF($B127="","",INDEX(Inventory!$G$3:$G$253,MATCH($B127,Inventory!$A$3:$A$253,0))),"")</f>
        <v/>
      </c>
      <c r="H127" s="11" t="str">
        <f aca="false">IF($D127="","",$D127*IFERROR($G127+0,0))</f>
        <v/>
      </c>
      <c r="I127" s="11"/>
      <c r="J127" s="11"/>
      <c r="K127" s="11" t="str">
        <f aca="false">IF($F127="","",$F127-$I127-$J127)</f>
        <v/>
      </c>
      <c r="L127" s="11" t="str">
        <f aca="false">IF($K127="","",$K127-$H127)</f>
        <v/>
      </c>
      <c r="M127" s="12" t="str">
        <f aca="false">IF(OR($F127="",$F127=0),"",$L127/$F127)</f>
        <v/>
      </c>
      <c r="N127" s="14"/>
      <c r="O127" s="14"/>
      <c r="P127" s="14"/>
      <c r="Q127" s="14"/>
    </row>
    <row r="128" customFormat="false" ht="15" hidden="false" customHeight="false" outlineLevel="0" collapsed="false">
      <c r="A128" s="16"/>
      <c r="B128" s="14"/>
      <c r="C128" s="14" t="str">
        <f aca="false">IFERROR(IF($B128="","",INDEX(Inventory!$B$3:$B$253,MATCH($B128,Inventory!$A$3:$A$253,0))),"")</f>
        <v/>
      </c>
      <c r="D128" s="15"/>
      <c r="E128" s="11"/>
      <c r="F128" s="11" t="str">
        <f aca="false">IF($D128="","",$D128*$E128)</f>
        <v/>
      </c>
      <c r="G128" s="11" t="str">
        <f aca="false">IFERROR(IF($B128="","",INDEX(Inventory!$G$3:$G$253,MATCH($B128,Inventory!$A$3:$A$253,0))),"")</f>
        <v/>
      </c>
      <c r="H128" s="11" t="str">
        <f aca="false">IF($D128="","",$D128*IFERROR($G128+0,0))</f>
        <v/>
      </c>
      <c r="I128" s="11"/>
      <c r="J128" s="11"/>
      <c r="K128" s="11" t="str">
        <f aca="false">IF($F128="","",$F128-$I128-$J128)</f>
        <v/>
      </c>
      <c r="L128" s="11" t="str">
        <f aca="false">IF($K128="","",$K128-$H128)</f>
        <v/>
      </c>
      <c r="M128" s="12" t="str">
        <f aca="false">IF(OR($F128="",$F128=0),"",$L128/$F128)</f>
        <v/>
      </c>
      <c r="N128" s="14"/>
      <c r="O128" s="14"/>
      <c r="P128" s="14"/>
      <c r="Q128" s="14"/>
    </row>
    <row r="129" customFormat="false" ht="15" hidden="false" customHeight="false" outlineLevel="0" collapsed="false">
      <c r="A129" s="16"/>
      <c r="B129" s="14"/>
      <c r="C129" s="14" t="str">
        <f aca="false">IFERROR(IF($B129="","",INDEX(Inventory!$B$3:$B$253,MATCH($B129,Inventory!$A$3:$A$253,0))),"")</f>
        <v/>
      </c>
      <c r="D129" s="15"/>
      <c r="E129" s="11"/>
      <c r="F129" s="11" t="str">
        <f aca="false">IF($D129="","",$D129*$E129)</f>
        <v/>
      </c>
      <c r="G129" s="11" t="str">
        <f aca="false">IFERROR(IF($B129="","",INDEX(Inventory!$G$3:$G$253,MATCH($B129,Inventory!$A$3:$A$253,0))),"")</f>
        <v/>
      </c>
      <c r="H129" s="11" t="str">
        <f aca="false">IF($D129="","",$D129*IFERROR($G129+0,0))</f>
        <v/>
      </c>
      <c r="I129" s="11"/>
      <c r="J129" s="11"/>
      <c r="K129" s="11" t="str">
        <f aca="false">IF($F129="","",$F129-$I129-$J129)</f>
        <v/>
      </c>
      <c r="L129" s="11" t="str">
        <f aca="false">IF($K129="","",$K129-$H129)</f>
        <v/>
      </c>
      <c r="M129" s="12" t="str">
        <f aca="false">IF(OR($F129="",$F129=0),"",$L129/$F129)</f>
        <v/>
      </c>
      <c r="N129" s="14"/>
      <c r="O129" s="14"/>
      <c r="P129" s="14"/>
      <c r="Q129" s="14"/>
    </row>
    <row r="130" customFormat="false" ht="15" hidden="false" customHeight="false" outlineLevel="0" collapsed="false">
      <c r="A130" s="16"/>
      <c r="B130" s="14"/>
      <c r="C130" s="14" t="str">
        <f aca="false">IFERROR(IF($B130="","",INDEX(Inventory!$B$3:$B$253,MATCH($B130,Inventory!$A$3:$A$253,0))),"")</f>
        <v/>
      </c>
      <c r="D130" s="15"/>
      <c r="E130" s="11"/>
      <c r="F130" s="11" t="str">
        <f aca="false">IF($D130="","",$D130*$E130)</f>
        <v/>
      </c>
      <c r="G130" s="11" t="str">
        <f aca="false">IFERROR(IF($B130="","",INDEX(Inventory!$G$3:$G$253,MATCH($B130,Inventory!$A$3:$A$253,0))),"")</f>
        <v/>
      </c>
      <c r="H130" s="11" t="str">
        <f aca="false">IF($D130="","",$D130*IFERROR($G130+0,0))</f>
        <v/>
      </c>
      <c r="I130" s="11"/>
      <c r="J130" s="11"/>
      <c r="K130" s="11" t="str">
        <f aca="false">IF($F130="","",$F130-$I130-$J130)</f>
        <v/>
      </c>
      <c r="L130" s="11" t="str">
        <f aca="false">IF($K130="","",$K130-$H130)</f>
        <v/>
      </c>
      <c r="M130" s="12" t="str">
        <f aca="false">IF(OR($F130="",$F130=0),"",$L130/$F130)</f>
        <v/>
      </c>
      <c r="N130" s="14"/>
      <c r="O130" s="14"/>
      <c r="P130" s="14"/>
      <c r="Q130" s="14"/>
    </row>
    <row r="131" customFormat="false" ht="15" hidden="false" customHeight="false" outlineLevel="0" collapsed="false">
      <c r="A131" s="16"/>
      <c r="B131" s="14"/>
      <c r="C131" s="14" t="str">
        <f aca="false">IFERROR(IF($B131="","",INDEX(Inventory!$B$3:$B$253,MATCH($B131,Inventory!$A$3:$A$253,0))),"")</f>
        <v/>
      </c>
      <c r="D131" s="15"/>
      <c r="E131" s="11"/>
      <c r="F131" s="11" t="str">
        <f aca="false">IF($D131="","",$D131*$E131)</f>
        <v/>
      </c>
      <c r="G131" s="11" t="str">
        <f aca="false">IFERROR(IF($B131="","",INDEX(Inventory!$G$3:$G$253,MATCH($B131,Inventory!$A$3:$A$253,0))),"")</f>
        <v/>
      </c>
      <c r="H131" s="11" t="str">
        <f aca="false">IF($D131="","",$D131*IFERROR($G131+0,0))</f>
        <v/>
      </c>
      <c r="I131" s="11"/>
      <c r="J131" s="11"/>
      <c r="K131" s="11" t="str">
        <f aca="false">IF($F131="","",$F131-$I131-$J131)</f>
        <v/>
      </c>
      <c r="L131" s="11" t="str">
        <f aca="false">IF($K131="","",$K131-$H131)</f>
        <v/>
      </c>
      <c r="M131" s="12" t="str">
        <f aca="false">IF(OR($F131="",$F131=0),"",$L131/$F131)</f>
        <v/>
      </c>
      <c r="N131" s="14"/>
      <c r="O131" s="14"/>
      <c r="P131" s="14"/>
      <c r="Q131" s="14"/>
    </row>
    <row r="132" customFormat="false" ht="15" hidden="false" customHeight="false" outlineLevel="0" collapsed="false">
      <c r="A132" s="16"/>
      <c r="B132" s="14"/>
      <c r="C132" s="14" t="str">
        <f aca="false">IFERROR(IF($B132="","",INDEX(Inventory!$B$3:$B$253,MATCH($B132,Inventory!$A$3:$A$253,0))),"")</f>
        <v/>
      </c>
      <c r="D132" s="15"/>
      <c r="E132" s="11"/>
      <c r="F132" s="11" t="str">
        <f aca="false">IF($D132="","",$D132*$E132)</f>
        <v/>
      </c>
      <c r="G132" s="11" t="str">
        <f aca="false">IFERROR(IF($B132="","",INDEX(Inventory!$G$3:$G$253,MATCH($B132,Inventory!$A$3:$A$253,0))),"")</f>
        <v/>
      </c>
      <c r="H132" s="11" t="str">
        <f aca="false">IF($D132="","",$D132*IFERROR($G132+0,0))</f>
        <v/>
      </c>
      <c r="I132" s="11"/>
      <c r="J132" s="11"/>
      <c r="K132" s="11" t="str">
        <f aca="false">IF($F132="","",$F132-$I132-$J132)</f>
        <v/>
      </c>
      <c r="L132" s="11" t="str">
        <f aca="false">IF($K132="","",$K132-$H132)</f>
        <v/>
      </c>
      <c r="M132" s="12" t="str">
        <f aca="false">IF(OR($F132="",$F132=0),"",$L132/$F132)</f>
        <v/>
      </c>
      <c r="N132" s="14"/>
      <c r="O132" s="14"/>
      <c r="P132" s="14"/>
      <c r="Q132" s="14"/>
    </row>
    <row r="133" customFormat="false" ht="15" hidden="false" customHeight="false" outlineLevel="0" collapsed="false">
      <c r="A133" s="16"/>
      <c r="B133" s="14"/>
      <c r="C133" s="14" t="str">
        <f aca="false">IFERROR(IF($B133="","",INDEX(Inventory!$B$3:$B$253,MATCH($B133,Inventory!$A$3:$A$253,0))),"")</f>
        <v/>
      </c>
      <c r="D133" s="15"/>
      <c r="E133" s="11"/>
      <c r="F133" s="11" t="str">
        <f aca="false">IF($D133="","",$D133*$E133)</f>
        <v/>
      </c>
      <c r="G133" s="11" t="str">
        <f aca="false">IFERROR(IF($B133="","",INDEX(Inventory!$G$3:$G$253,MATCH($B133,Inventory!$A$3:$A$253,0))),"")</f>
        <v/>
      </c>
      <c r="H133" s="11" t="str">
        <f aca="false">IF($D133="","",$D133*IFERROR($G133+0,0))</f>
        <v/>
      </c>
      <c r="I133" s="11"/>
      <c r="J133" s="11"/>
      <c r="K133" s="11" t="str">
        <f aca="false">IF($F133="","",$F133-$I133-$J133)</f>
        <v/>
      </c>
      <c r="L133" s="11" t="str">
        <f aca="false">IF($K133="","",$K133-$H133)</f>
        <v/>
      </c>
      <c r="M133" s="12" t="str">
        <f aca="false">IF(OR($F133="",$F133=0),"",$L133/$F133)</f>
        <v/>
      </c>
      <c r="N133" s="14"/>
      <c r="O133" s="14"/>
      <c r="P133" s="14"/>
      <c r="Q133" s="14"/>
    </row>
    <row r="134" customFormat="false" ht="15" hidden="false" customHeight="false" outlineLevel="0" collapsed="false">
      <c r="A134" s="16"/>
      <c r="B134" s="14"/>
      <c r="C134" s="14" t="str">
        <f aca="false">IFERROR(IF($B134="","",INDEX(Inventory!$B$3:$B$253,MATCH($B134,Inventory!$A$3:$A$253,0))),"")</f>
        <v/>
      </c>
      <c r="D134" s="15"/>
      <c r="E134" s="11"/>
      <c r="F134" s="11" t="str">
        <f aca="false">IF($D134="","",$D134*$E134)</f>
        <v/>
      </c>
      <c r="G134" s="11" t="str">
        <f aca="false">IFERROR(IF($B134="","",INDEX(Inventory!$G$3:$G$253,MATCH($B134,Inventory!$A$3:$A$253,0))),"")</f>
        <v/>
      </c>
      <c r="H134" s="11" t="str">
        <f aca="false">IF($D134="","",$D134*IFERROR($G134+0,0))</f>
        <v/>
      </c>
      <c r="I134" s="11"/>
      <c r="J134" s="11"/>
      <c r="K134" s="11" t="str">
        <f aca="false">IF($F134="","",$F134-$I134-$J134)</f>
        <v/>
      </c>
      <c r="L134" s="11" t="str">
        <f aca="false">IF($K134="","",$K134-$H134)</f>
        <v/>
      </c>
      <c r="M134" s="12" t="str">
        <f aca="false">IF(OR($F134="",$F134=0),"",$L134/$F134)</f>
        <v/>
      </c>
      <c r="N134" s="14"/>
      <c r="O134" s="14"/>
      <c r="P134" s="14"/>
      <c r="Q134" s="14"/>
    </row>
    <row r="135" customFormat="false" ht="15" hidden="false" customHeight="false" outlineLevel="0" collapsed="false">
      <c r="A135" s="16"/>
      <c r="B135" s="14"/>
      <c r="C135" s="14" t="str">
        <f aca="false">IFERROR(IF($B135="","",INDEX(Inventory!$B$3:$B$253,MATCH($B135,Inventory!$A$3:$A$253,0))),"")</f>
        <v/>
      </c>
      <c r="D135" s="15"/>
      <c r="E135" s="11"/>
      <c r="F135" s="11" t="str">
        <f aca="false">IF($D135="","",$D135*$E135)</f>
        <v/>
      </c>
      <c r="G135" s="11" t="str">
        <f aca="false">IFERROR(IF($B135="","",INDEX(Inventory!$G$3:$G$253,MATCH($B135,Inventory!$A$3:$A$253,0))),"")</f>
        <v/>
      </c>
      <c r="H135" s="11" t="str">
        <f aca="false">IF($D135="","",$D135*IFERROR($G135+0,0))</f>
        <v/>
      </c>
      <c r="I135" s="11"/>
      <c r="J135" s="11"/>
      <c r="K135" s="11" t="str">
        <f aca="false">IF($F135="","",$F135-$I135-$J135)</f>
        <v/>
      </c>
      <c r="L135" s="11" t="str">
        <f aca="false">IF($K135="","",$K135-$H135)</f>
        <v/>
      </c>
      <c r="M135" s="12" t="str">
        <f aca="false">IF(OR($F135="",$F135=0),"",$L135/$F135)</f>
        <v/>
      </c>
      <c r="N135" s="14"/>
      <c r="O135" s="14"/>
      <c r="P135" s="14"/>
      <c r="Q135" s="14"/>
    </row>
    <row r="136" customFormat="false" ht="15" hidden="false" customHeight="false" outlineLevel="0" collapsed="false">
      <c r="A136" s="16"/>
      <c r="B136" s="14"/>
      <c r="C136" s="14" t="str">
        <f aca="false">IFERROR(IF($B136="","",INDEX(Inventory!$B$3:$B$253,MATCH($B136,Inventory!$A$3:$A$253,0))),"")</f>
        <v/>
      </c>
      <c r="D136" s="15"/>
      <c r="E136" s="11"/>
      <c r="F136" s="11" t="str">
        <f aca="false">IF($D136="","",$D136*$E136)</f>
        <v/>
      </c>
      <c r="G136" s="11" t="str">
        <f aca="false">IFERROR(IF($B136="","",INDEX(Inventory!$G$3:$G$253,MATCH($B136,Inventory!$A$3:$A$253,0))),"")</f>
        <v/>
      </c>
      <c r="H136" s="11" t="str">
        <f aca="false">IF($D136="","",$D136*IFERROR($G136+0,0))</f>
        <v/>
      </c>
      <c r="I136" s="11"/>
      <c r="J136" s="11"/>
      <c r="K136" s="11" t="str">
        <f aca="false">IF($F136="","",$F136-$I136-$J136)</f>
        <v/>
      </c>
      <c r="L136" s="11" t="str">
        <f aca="false">IF($K136="","",$K136-$H136)</f>
        <v/>
      </c>
      <c r="M136" s="12" t="str">
        <f aca="false">IF(OR($F136="",$F136=0),"",$L136/$F136)</f>
        <v/>
      </c>
      <c r="N136" s="14"/>
      <c r="O136" s="14"/>
      <c r="P136" s="14"/>
      <c r="Q136" s="14"/>
    </row>
    <row r="137" customFormat="false" ht="15" hidden="false" customHeight="false" outlineLevel="0" collapsed="false">
      <c r="A137" s="16"/>
      <c r="B137" s="14"/>
      <c r="C137" s="14" t="str">
        <f aca="false">IFERROR(IF($B137="","",INDEX(Inventory!$B$3:$B$253,MATCH($B137,Inventory!$A$3:$A$253,0))),"")</f>
        <v/>
      </c>
      <c r="D137" s="15"/>
      <c r="E137" s="11"/>
      <c r="F137" s="11" t="str">
        <f aca="false">IF($D137="","",$D137*$E137)</f>
        <v/>
      </c>
      <c r="G137" s="11" t="str">
        <f aca="false">IFERROR(IF($B137="","",INDEX(Inventory!$G$3:$G$253,MATCH($B137,Inventory!$A$3:$A$253,0))),"")</f>
        <v/>
      </c>
      <c r="H137" s="11" t="str">
        <f aca="false">IF($D137="","",$D137*IFERROR($G137+0,0))</f>
        <v/>
      </c>
      <c r="I137" s="11"/>
      <c r="J137" s="11"/>
      <c r="K137" s="11" t="str">
        <f aca="false">IF($F137="","",$F137-$I137-$J137)</f>
        <v/>
      </c>
      <c r="L137" s="11" t="str">
        <f aca="false">IF($K137="","",$K137-$H137)</f>
        <v/>
      </c>
      <c r="M137" s="12" t="str">
        <f aca="false">IF(OR($F137="",$F137=0),"",$L137/$F137)</f>
        <v/>
      </c>
      <c r="N137" s="14"/>
      <c r="O137" s="14"/>
      <c r="P137" s="14"/>
      <c r="Q137" s="14"/>
    </row>
    <row r="138" customFormat="false" ht="15" hidden="false" customHeight="false" outlineLevel="0" collapsed="false">
      <c r="A138" s="16"/>
      <c r="B138" s="14"/>
      <c r="C138" s="14" t="str">
        <f aca="false">IFERROR(IF($B138="","",INDEX(Inventory!$B$3:$B$253,MATCH($B138,Inventory!$A$3:$A$253,0))),"")</f>
        <v/>
      </c>
      <c r="D138" s="15"/>
      <c r="E138" s="11"/>
      <c r="F138" s="11" t="str">
        <f aca="false">IF($D138="","",$D138*$E138)</f>
        <v/>
      </c>
      <c r="G138" s="11" t="str">
        <f aca="false">IFERROR(IF($B138="","",INDEX(Inventory!$G$3:$G$253,MATCH($B138,Inventory!$A$3:$A$253,0))),"")</f>
        <v/>
      </c>
      <c r="H138" s="11" t="str">
        <f aca="false">IF($D138="","",$D138*IFERROR($G138+0,0))</f>
        <v/>
      </c>
      <c r="I138" s="11"/>
      <c r="J138" s="11"/>
      <c r="K138" s="11" t="str">
        <f aca="false">IF($F138="","",$F138-$I138-$J138)</f>
        <v/>
      </c>
      <c r="L138" s="11" t="str">
        <f aca="false">IF($K138="","",$K138-$H138)</f>
        <v/>
      </c>
      <c r="M138" s="12" t="str">
        <f aca="false">IF(OR($F138="",$F138=0),"",$L138/$F138)</f>
        <v/>
      </c>
      <c r="N138" s="14"/>
      <c r="O138" s="14"/>
      <c r="P138" s="14"/>
      <c r="Q138" s="14"/>
    </row>
    <row r="139" customFormat="false" ht="15" hidden="false" customHeight="false" outlineLevel="0" collapsed="false">
      <c r="A139" s="16"/>
      <c r="B139" s="14"/>
      <c r="C139" s="14" t="str">
        <f aca="false">IFERROR(IF($B139="","",INDEX(Inventory!$B$3:$B$253,MATCH($B139,Inventory!$A$3:$A$253,0))),"")</f>
        <v/>
      </c>
      <c r="D139" s="15"/>
      <c r="E139" s="11"/>
      <c r="F139" s="11" t="str">
        <f aca="false">IF($D139="","",$D139*$E139)</f>
        <v/>
      </c>
      <c r="G139" s="11" t="str">
        <f aca="false">IFERROR(IF($B139="","",INDEX(Inventory!$G$3:$G$253,MATCH($B139,Inventory!$A$3:$A$253,0))),"")</f>
        <v/>
      </c>
      <c r="H139" s="11" t="str">
        <f aca="false">IF($D139="","",$D139*IFERROR($G139+0,0))</f>
        <v/>
      </c>
      <c r="I139" s="11"/>
      <c r="J139" s="11"/>
      <c r="K139" s="11" t="str">
        <f aca="false">IF($F139="","",$F139-$I139-$J139)</f>
        <v/>
      </c>
      <c r="L139" s="11" t="str">
        <f aca="false">IF($K139="","",$K139-$H139)</f>
        <v/>
      </c>
      <c r="M139" s="12" t="str">
        <f aca="false">IF(OR($F139="",$F139=0),"",$L139/$F139)</f>
        <v/>
      </c>
      <c r="N139" s="14"/>
      <c r="O139" s="14"/>
      <c r="P139" s="14"/>
      <c r="Q139" s="14"/>
    </row>
    <row r="140" customFormat="false" ht="15" hidden="false" customHeight="false" outlineLevel="0" collapsed="false">
      <c r="A140" s="16"/>
      <c r="B140" s="14"/>
      <c r="C140" s="14" t="str">
        <f aca="false">IFERROR(IF($B140="","",INDEX(Inventory!$B$3:$B$253,MATCH($B140,Inventory!$A$3:$A$253,0))),"")</f>
        <v/>
      </c>
      <c r="D140" s="15"/>
      <c r="E140" s="11"/>
      <c r="F140" s="11" t="str">
        <f aca="false">IF($D140="","",$D140*$E140)</f>
        <v/>
      </c>
      <c r="G140" s="11" t="str">
        <f aca="false">IFERROR(IF($B140="","",INDEX(Inventory!$G$3:$G$253,MATCH($B140,Inventory!$A$3:$A$253,0))),"")</f>
        <v/>
      </c>
      <c r="H140" s="11" t="str">
        <f aca="false">IF($D140="","",$D140*IFERROR($G140+0,0))</f>
        <v/>
      </c>
      <c r="I140" s="11"/>
      <c r="J140" s="11"/>
      <c r="K140" s="11" t="str">
        <f aca="false">IF($F140="","",$F140-$I140-$J140)</f>
        <v/>
      </c>
      <c r="L140" s="11" t="str">
        <f aca="false">IF($K140="","",$K140-$H140)</f>
        <v/>
      </c>
      <c r="M140" s="12" t="str">
        <f aca="false">IF(OR($F140="",$F140=0),"",$L140/$F140)</f>
        <v/>
      </c>
      <c r="N140" s="14"/>
      <c r="O140" s="14"/>
      <c r="P140" s="14"/>
      <c r="Q140" s="14"/>
    </row>
    <row r="141" customFormat="false" ht="15" hidden="false" customHeight="false" outlineLevel="0" collapsed="false">
      <c r="A141" s="16"/>
      <c r="B141" s="14"/>
      <c r="C141" s="14" t="str">
        <f aca="false">IFERROR(IF($B141="","",INDEX(Inventory!$B$3:$B$253,MATCH($B141,Inventory!$A$3:$A$253,0))),"")</f>
        <v/>
      </c>
      <c r="D141" s="15"/>
      <c r="E141" s="11"/>
      <c r="F141" s="11" t="str">
        <f aca="false">IF($D141="","",$D141*$E141)</f>
        <v/>
      </c>
      <c r="G141" s="11" t="str">
        <f aca="false">IFERROR(IF($B141="","",INDEX(Inventory!$G$3:$G$253,MATCH($B141,Inventory!$A$3:$A$253,0))),"")</f>
        <v/>
      </c>
      <c r="H141" s="11" t="str">
        <f aca="false">IF($D141="","",$D141*IFERROR($G141+0,0))</f>
        <v/>
      </c>
      <c r="I141" s="11"/>
      <c r="J141" s="11"/>
      <c r="K141" s="11" t="str">
        <f aca="false">IF($F141="","",$F141-$I141-$J141)</f>
        <v/>
      </c>
      <c r="L141" s="11" t="str">
        <f aca="false">IF($K141="","",$K141-$H141)</f>
        <v/>
      </c>
      <c r="M141" s="12" t="str">
        <f aca="false">IF(OR($F141="",$F141=0),"",$L141/$F141)</f>
        <v/>
      </c>
      <c r="N141" s="14"/>
      <c r="O141" s="14"/>
      <c r="P141" s="14"/>
      <c r="Q141" s="14"/>
    </row>
    <row r="142" customFormat="false" ht="15" hidden="false" customHeight="false" outlineLevel="0" collapsed="false">
      <c r="A142" s="16"/>
      <c r="B142" s="14"/>
      <c r="C142" s="14" t="str">
        <f aca="false">IFERROR(IF($B142="","",INDEX(Inventory!$B$3:$B$253,MATCH($B142,Inventory!$A$3:$A$253,0))),"")</f>
        <v/>
      </c>
      <c r="D142" s="15"/>
      <c r="E142" s="11"/>
      <c r="F142" s="11" t="str">
        <f aca="false">IF($D142="","",$D142*$E142)</f>
        <v/>
      </c>
      <c r="G142" s="11" t="str">
        <f aca="false">IFERROR(IF($B142="","",INDEX(Inventory!$G$3:$G$253,MATCH($B142,Inventory!$A$3:$A$253,0))),"")</f>
        <v/>
      </c>
      <c r="H142" s="11" t="str">
        <f aca="false">IF($D142="","",$D142*IFERROR($G142+0,0))</f>
        <v/>
      </c>
      <c r="I142" s="11"/>
      <c r="J142" s="11"/>
      <c r="K142" s="11" t="str">
        <f aca="false">IF($F142="","",$F142-$I142-$J142)</f>
        <v/>
      </c>
      <c r="L142" s="11" t="str">
        <f aca="false">IF($K142="","",$K142-$H142)</f>
        <v/>
      </c>
      <c r="M142" s="12" t="str">
        <f aca="false">IF(OR($F142="",$F142=0),"",$L142/$F142)</f>
        <v/>
      </c>
      <c r="N142" s="14"/>
      <c r="O142" s="14"/>
      <c r="P142" s="14"/>
      <c r="Q142" s="14"/>
    </row>
    <row r="143" customFormat="false" ht="15" hidden="false" customHeight="false" outlineLevel="0" collapsed="false">
      <c r="A143" s="16"/>
      <c r="B143" s="14"/>
      <c r="C143" s="14" t="str">
        <f aca="false">IFERROR(IF($B143="","",INDEX(Inventory!$B$3:$B$253,MATCH($B143,Inventory!$A$3:$A$253,0))),"")</f>
        <v/>
      </c>
      <c r="D143" s="15"/>
      <c r="E143" s="11"/>
      <c r="F143" s="11" t="str">
        <f aca="false">IF($D143="","",$D143*$E143)</f>
        <v/>
      </c>
      <c r="G143" s="11" t="str">
        <f aca="false">IFERROR(IF($B143="","",INDEX(Inventory!$G$3:$G$253,MATCH($B143,Inventory!$A$3:$A$253,0))),"")</f>
        <v/>
      </c>
      <c r="H143" s="11" t="str">
        <f aca="false">IF($D143="","",$D143*IFERROR($G143+0,0))</f>
        <v/>
      </c>
      <c r="I143" s="11"/>
      <c r="J143" s="11"/>
      <c r="K143" s="11" t="str">
        <f aca="false">IF($F143="","",$F143-$I143-$J143)</f>
        <v/>
      </c>
      <c r="L143" s="11" t="str">
        <f aca="false">IF($K143="","",$K143-$H143)</f>
        <v/>
      </c>
      <c r="M143" s="12" t="str">
        <f aca="false">IF(OR($F143="",$F143=0),"",$L143/$F143)</f>
        <v/>
      </c>
      <c r="N143" s="14"/>
      <c r="O143" s="14"/>
      <c r="P143" s="14"/>
      <c r="Q143" s="14"/>
    </row>
    <row r="144" customFormat="false" ht="15" hidden="false" customHeight="false" outlineLevel="0" collapsed="false">
      <c r="A144" s="16"/>
      <c r="B144" s="14"/>
      <c r="C144" s="14" t="str">
        <f aca="false">IFERROR(IF($B144="","",INDEX(Inventory!$B$3:$B$253,MATCH($B144,Inventory!$A$3:$A$253,0))),"")</f>
        <v/>
      </c>
      <c r="D144" s="15"/>
      <c r="E144" s="11"/>
      <c r="F144" s="11" t="str">
        <f aca="false">IF($D144="","",$D144*$E144)</f>
        <v/>
      </c>
      <c r="G144" s="11" t="str">
        <f aca="false">IFERROR(IF($B144="","",INDEX(Inventory!$G$3:$G$253,MATCH($B144,Inventory!$A$3:$A$253,0))),"")</f>
        <v/>
      </c>
      <c r="H144" s="11" t="str">
        <f aca="false">IF($D144="","",$D144*IFERROR($G144+0,0))</f>
        <v/>
      </c>
      <c r="I144" s="11"/>
      <c r="J144" s="11"/>
      <c r="K144" s="11" t="str">
        <f aca="false">IF($F144="","",$F144-$I144-$J144)</f>
        <v/>
      </c>
      <c r="L144" s="11" t="str">
        <f aca="false">IF($K144="","",$K144-$H144)</f>
        <v/>
      </c>
      <c r="M144" s="12" t="str">
        <f aca="false">IF(OR($F144="",$F144=0),"",$L144/$F144)</f>
        <v/>
      </c>
      <c r="N144" s="14"/>
      <c r="O144" s="14"/>
      <c r="P144" s="14"/>
      <c r="Q144" s="14"/>
    </row>
    <row r="145" customFormat="false" ht="15" hidden="false" customHeight="false" outlineLevel="0" collapsed="false">
      <c r="A145" s="16"/>
      <c r="B145" s="14"/>
      <c r="C145" s="14" t="str">
        <f aca="false">IFERROR(IF($B145="","",INDEX(Inventory!$B$3:$B$253,MATCH($B145,Inventory!$A$3:$A$253,0))),"")</f>
        <v/>
      </c>
      <c r="D145" s="15"/>
      <c r="E145" s="11"/>
      <c r="F145" s="11" t="str">
        <f aca="false">IF($D145="","",$D145*$E145)</f>
        <v/>
      </c>
      <c r="G145" s="11" t="str">
        <f aca="false">IFERROR(IF($B145="","",INDEX(Inventory!$G$3:$G$253,MATCH($B145,Inventory!$A$3:$A$253,0))),"")</f>
        <v/>
      </c>
      <c r="H145" s="11" t="str">
        <f aca="false">IF($D145="","",$D145*IFERROR($G145+0,0))</f>
        <v/>
      </c>
      <c r="I145" s="11"/>
      <c r="J145" s="11"/>
      <c r="K145" s="11" t="str">
        <f aca="false">IF($F145="","",$F145-$I145-$J145)</f>
        <v/>
      </c>
      <c r="L145" s="11" t="str">
        <f aca="false">IF($K145="","",$K145-$H145)</f>
        <v/>
      </c>
      <c r="M145" s="12" t="str">
        <f aca="false">IF(OR($F145="",$F145=0),"",$L145/$F145)</f>
        <v/>
      </c>
      <c r="N145" s="14"/>
      <c r="O145" s="14"/>
      <c r="P145" s="14"/>
      <c r="Q145" s="14"/>
    </row>
    <row r="146" customFormat="false" ht="15" hidden="false" customHeight="false" outlineLevel="0" collapsed="false">
      <c r="A146" s="16"/>
      <c r="B146" s="14"/>
      <c r="C146" s="14" t="str">
        <f aca="false">IFERROR(IF($B146="","",INDEX(Inventory!$B$3:$B$253,MATCH($B146,Inventory!$A$3:$A$253,0))),"")</f>
        <v/>
      </c>
      <c r="D146" s="15"/>
      <c r="E146" s="11"/>
      <c r="F146" s="11" t="str">
        <f aca="false">IF($D146="","",$D146*$E146)</f>
        <v/>
      </c>
      <c r="G146" s="11" t="str">
        <f aca="false">IFERROR(IF($B146="","",INDEX(Inventory!$G$3:$G$253,MATCH($B146,Inventory!$A$3:$A$253,0))),"")</f>
        <v/>
      </c>
      <c r="H146" s="11" t="str">
        <f aca="false">IF($D146="","",$D146*IFERROR($G146+0,0))</f>
        <v/>
      </c>
      <c r="I146" s="11"/>
      <c r="J146" s="11"/>
      <c r="K146" s="11" t="str">
        <f aca="false">IF($F146="","",$F146-$I146-$J146)</f>
        <v/>
      </c>
      <c r="L146" s="11" t="str">
        <f aca="false">IF($K146="","",$K146-$H146)</f>
        <v/>
      </c>
      <c r="M146" s="12" t="str">
        <f aca="false">IF(OR($F146="",$F146=0),"",$L146/$F146)</f>
        <v/>
      </c>
      <c r="N146" s="14"/>
      <c r="O146" s="14"/>
      <c r="P146" s="14"/>
      <c r="Q146" s="14"/>
    </row>
    <row r="147" customFormat="false" ht="15" hidden="false" customHeight="false" outlineLevel="0" collapsed="false">
      <c r="A147" s="16"/>
      <c r="B147" s="14"/>
      <c r="C147" s="14" t="str">
        <f aca="false">IFERROR(IF($B147="","",INDEX(Inventory!$B$3:$B$253,MATCH($B147,Inventory!$A$3:$A$253,0))),"")</f>
        <v/>
      </c>
      <c r="D147" s="15"/>
      <c r="E147" s="11"/>
      <c r="F147" s="11" t="str">
        <f aca="false">IF($D147="","",$D147*$E147)</f>
        <v/>
      </c>
      <c r="G147" s="11" t="str">
        <f aca="false">IFERROR(IF($B147="","",INDEX(Inventory!$G$3:$G$253,MATCH($B147,Inventory!$A$3:$A$253,0))),"")</f>
        <v/>
      </c>
      <c r="H147" s="11" t="str">
        <f aca="false">IF($D147="","",$D147*IFERROR($G147+0,0))</f>
        <v/>
      </c>
      <c r="I147" s="11"/>
      <c r="J147" s="11"/>
      <c r="K147" s="11" t="str">
        <f aca="false">IF($F147="","",$F147-$I147-$J147)</f>
        <v/>
      </c>
      <c r="L147" s="11" t="str">
        <f aca="false">IF($K147="","",$K147-$H147)</f>
        <v/>
      </c>
      <c r="M147" s="12" t="str">
        <f aca="false">IF(OR($F147="",$F147=0),"",$L147/$F147)</f>
        <v/>
      </c>
      <c r="N147" s="14"/>
      <c r="O147" s="14"/>
      <c r="P147" s="14"/>
      <c r="Q147" s="14"/>
    </row>
    <row r="148" customFormat="false" ht="15" hidden="false" customHeight="false" outlineLevel="0" collapsed="false">
      <c r="A148" s="16"/>
      <c r="B148" s="14"/>
      <c r="C148" s="14" t="str">
        <f aca="false">IFERROR(IF($B148="","",INDEX(Inventory!$B$3:$B$253,MATCH($B148,Inventory!$A$3:$A$253,0))),"")</f>
        <v/>
      </c>
      <c r="D148" s="15"/>
      <c r="E148" s="11"/>
      <c r="F148" s="11" t="str">
        <f aca="false">IF($D148="","",$D148*$E148)</f>
        <v/>
      </c>
      <c r="G148" s="11" t="str">
        <f aca="false">IFERROR(IF($B148="","",INDEX(Inventory!$G$3:$G$253,MATCH($B148,Inventory!$A$3:$A$253,0))),"")</f>
        <v/>
      </c>
      <c r="H148" s="11" t="str">
        <f aca="false">IF($D148="","",$D148*IFERROR($G148+0,0))</f>
        <v/>
      </c>
      <c r="I148" s="11"/>
      <c r="J148" s="11"/>
      <c r="K148" s="11" t="str">
        <f aca="false">IF($F148="","",$F148-$I148-$J148)</f>
        <v/>
      </c>
      <c r="L148" s="11" t="str">
        <f aca="false">IF($K148="","",$K148-$H148)</f>
        <v/>
      </c>
      <c r="M148" s="12" t="str">
        <f aca="false">IF(OR($F148="",$F148=0),"",$L148/$F148)</f>
        <v/>
      </c>
      <c r="N148" s="14"/>
      <c r="O148" s="14"/>
      <c r="P148" s="14"/>
      <c r="Q148" s="14"/>
    </row>
    <row r="149" customFormat="false" ht="15" hidden="false" customHeight="false" outlineLevel="0" collapsed="false">
      <c r="A149" s="16"/>
      <c r="B149" s="14"/>
      <c r="C149" s="14" t="str">
        <f aca="false">IFERROR(IF($B149="","",INDEX(Inventory!$B$3:$B$253,MATCH($B149,Inventory!$A$3:$A$253,0))),"")</f>
        <v/>
      </c>
      <c r="D149" s="15"/>
      <c r="E149" s="11"/>
      <c r="F149" s="11" t="str">
        <f aca="false">IF($D149="","",$D149*$E149)</f>
        <v/>
      </c>
      <c r="G149" s="11" t="str">
        <f aca="false">IFERROR(IF($B149="","",INDEX(Inventory!$G$3:$G$253,MATCH($B149,Inventory!$A$3:$A$253,0))),"")</f>
        <v/>
      </c>
      <c r="H149" s="11" t="str">
        <f aca="false">IF($D149="","",$D149*IFERROR($G149+0,0))</f>
        <v/>
      </c>
      <c r="I149" s="11"/>
      <c r="J149" s="11"/>
      <c r="K149" s="11" t="str">
        <f aca="false">IF($F149="","",$F149-$I149-$J149)</f>
        <v/>
      </c>
      <c r="L149" s="11" t="str">
        <f aca="false">IF($K149="","",$K149-$H149)</f>
        <v/>
      </c>
      <c r="M149" s="12" t="str">
        <f aca="false">IF(OR($F149="",$F149=0),"",$L149/$F149)</f>
        <v/>
      </c>
      <c r="N149" s="14"/>
      <c r="O149" s="14"/>
      <c r="P149" s="14"/>
      <c r="Q149" s="14"/>
    </row>
    <row r="150" customFormat="false" ht="15" hidden="false" customHeight="false" outlineLevel="0" collapsed="false">
      <c r="A150" s="16"/>
      <c r="B150" s="14"/>
      <c r="C150" s="14" t="str">
        <f aca="false">IFERROR(IF($B150="","",INDEX(Inventory!$B$3:$B$253,MATCH($B150,Inventory!$A$3:$A$253,0))),"")</f>
        <v/>
      </c>
      <c r="D150" s="15"/>
      <c r="E150" s="11"/>
      <c r="F150" s="11" t="str">
        <f aca="false">IF($D150="","",$D150*$E150)</f>
        <v/>
      </c>
      <c r="G150" s="11" t="str">
        <f aca="false">IFERROR(IF($B150="","",INDEX(Inventory!$G$3:$G$253,MATCH($B150,Inventory!$A$3:$A$253,0))),"")</f>
        <v/>
      </c>
      <c r="H150" s="11" t="str">
        <f aca="false">IF($D150="","",$D150*IFERROR($G150+0,0))</f>
        <v/>
      </c>
      <c r="I150" s="11"/>
      <c r="J150" s="11"/>
      <c r="K150" s="11" t="str">
        <f aca="false">IF($F150="","",$F150-$I150-$J150)</f>
        <v/>
      </c>
      <c r="L150" s="11" t="str">
        <f aca="false">IF($K150="","",$K150-$H150)</f>
        <v/>
      </c>
      <c r="M150" s="12" t="str">
        <f aca="false">IF(OR($F150="",$F150=0),"",$L150/$F150)</f>
        <v/>
      </c>
      <c r="N150" s="14"/>
      <c r="O150" s="14"/>
      <c r="P150" s="14"/>
      <c r="Q150" s="14"/>
    </row>
    <row r="151" customFormat="false" ht="15" hidden="false" customHeight="false" outlineLevel="0" collapsed="false">
      <c r="A151" s="16"/>
      <c r="B151" s="14"/>
      <c r="C151" s="14" t="str">
        <f aca="false">IFERROR(IF($B151="","",INDEX(Inventory!$B$3:$B$253,MATCH($B151,Inventory!$A$3:$A$253,0))),"")</f>
        <v/>
      </c>
      <c r="D151" s="15"/>
      <c r="E151" s="11"/>
      <c r="F151" s="11" t="str">
        <f aca="false">IF($D151="","",$D151*$E151)</f>
        <v/>
      </c>
      <c r="G151" s="11" t="str">
        <f aca="false">IFERROR(IF($B151="","",INDEX(Inventory!$G$3:$G$253,MATCH($B151,Inventory!$A$3:$A$253,0))),"")</f>
        <v/>
      </c>
      <c r="H151" s="11" t="str">
        <f aca="false">IF($D151="","",$D151*IFERROR($G151+0,0))</f>
        <v/>
      </c>
      <c r="I151" s="11"/>
      <c r="J151" s="11"/>
      <c r="K151" s="11" t="str">
        <f aca="false">IF($F151="","",$F151-$I151-$J151)</f>
        <v/>
      </c>
      <c r="L151" s="11" t="str">
        <f aca="false">IF($K151="","",$K151-$H151)</f>
        <v/>
      </c>
      <c r="M151" s="12" t="str">
        <f aca="false">IF(OR($F151="",$F151=0),"",$L151/$F151)</f>
        <v/>
      </c>
      <c r="N151" s="14"/>
      <c r="O151" s="14"/>
      <c r="P151" s="14"/>
      <c r="Q151" s="14"/>
    </row>
    <row r="152" customFormat="false" ht="15" hidden="false" customHeight="false" outlineLevel="0" collapsed="false">
      <c r="A152" s="16"/>
      <c r="B152" s="14"/>
      <c r="C152" s="14" t="str">
        <f aca="false">IFERROR(IF($B152="","",INDEX(Inventory!$B$3:$B$253,MATCH($B152,Inventory!$A$3:$A$253,0))),"")</f>
        <v/>
      </c>
      <c r="D152" s="15"/>
      <c r="E152" s="11"/>
      <c r="F152" s="11" t="str">
        <f aca="false">IF($D152="","",$D152*$E152)</f>
        <v/>
      </c>
      <c r="G152" s="11" t="str">
        <f aca="false">IFERROR(IF($B152="","",INDEX(Inventory!$G$3:$G$253,MATCH($B152,Inventory!$A$3:$A$253,0))),"")</f>
        <v/>
      </c>
      <c r="H152" s="11" t="str">
        <f aca="false">IF($D152="","",$D152*IFERROR($G152+0,0))</f>
        <v/>
      </c>
      <c r="I152" s="11"/>
      <c r="J152" s="11"/>
      <c r="K152" s="11" t="str">
        <f aca="false">IF($F152="","",$F152-$I152-$J152)</f>
        <v/>
      </c>
      <c r="L152" s="11" t="str">
        <f aca="false">IF($K152="","",$K152-$H152)</f>
        <v/>
      </c>
      <c r="M152" s="12" t="str">
        <f aca="false">IF(OR($F152="",$F152=0),"",$L152/$F152)</f>
        <v/>
      </c>
      <c r="N152" s="14"/>
      <c r="O152" s="14"/>
      <c r="P152" s="14"/>
      <c r="Q152" s="14"/>
    </row>
    <row r="153" customFormat="false" ht="15" hidden="false" customHeight="false" outlineLevel="0" collapsed="false">
      <c r="A153" s="16"/>
      <c r="B153" s="14"/>
      <c r="C153" s="14" t="str">
        <f aca="false">IFERROR(IF($B153="","",INDEX(Inventory!$B$3:$B$253,MATCH($B153,Inventory!$A$3:$A$253,0))),"")</f>
        <v/>
      </c>
      <c r="D153" s="15"/>
      <c r="E153" s="11"/>
      <c r="F153" s="11" t="str">
        <f aca="false">IF($D153="","",$D153*$E153)</f>
        <v/>
      </c>
      <c r="G153" s="11" t="str">
        <f aca="false">IFERROR(IF($B153="","",INDEX(Inventory!$G$3:$G$253,MATCH($B153,Inventory!$A$3:$A$253,0))),"")</f>
        <v/>
      </c>
      <c r="H153" s="11" t="str">
        <f aca="false">IF($D153="","",$D153*IFERROR($G153+0,0))</f>
        <v/>
      </c>
      <c r="I153" s="11"/>
      <c r="J153" s="11"/>
      <c r="K153" s="11" t="str">
        <f aca="false">IF($F153="","",$F153-$I153-$J153)</f>
        <v/>
      </c>
      <c r="L153" s="11" t="str">
        <f aca="false">IF($K153="","",$K153-$H153)</f>
        <v/>
      </c>
      <c r="M153" s="12" t="str">
        <f aca="false">IF(OR($F153="",$F153=0),"",$L153/$F153)</f>
        <v/>
      </c>
      <c r="N153" s="14"/>
      <c r="O153" s="14"/>
      <c r="P153" s="14"/>
      <c r="Q153" s="14"/>
    </row>
    <row r="154" customFormat="false" ht="15" hidden="false" customHeight="false" outlineLevel="0" collapsed="false">
      <c r="A154" s="16"/>
      <c r="B154" s="14"/>
      <c r="C154" s="14" t="str">
        <f aca="false">IFERROR(IF($B154="","",INDEX(Inventory!$B$3:$B$253,MATCH($B154,Inventory!$A$3:$A$253,0))),"")</f>
        <v/>
      </c>
      <c r="D154" s="15"/>
      <c r="E154" s="11"/>
      <c r="F154" s="11" t="str">
        <f aca="false">IF($D154="","",$D154*$E154)</f>
        <v/>
      </c>
      <c r="G154" s="11" t="str">
        <f aca="false">IFERROR(IF($B154="","",INDEX(Inventory!$G$3:$G$253,MATCH($B154,Inventory!$A$3:$A$253,0))),"")</f>
        <v/>
      </c>
      <c r="H154" s="11" t="str">
        <f aca="false">IF($D154="","",$D154*IFERROR($G154+0,0))</f>
        <v/>
      </c>
      <c r="I154" s="11"/>
      <c r="J154" s="11"/>
      <c r="K154" s="11" t="str">
        <f aca="false">IF($F154="","",$F154-$I154-$J154)</f>
        <v/>
      </c>
      <c r="L154" s="11" t="str">
        <f aca="false">IF($K154="","",$K154-$H154)</f>
        <v/>
      </c>
      <c r="M154" s="12" t="str">
        <f aca="false">IF(OR($F154="",$F154=0),"",$L154/$F154)</f>
        <v/>
      </c>
      <c r="N154" s="14"/>
      <c r="O154" s="14"/>
      <c r="P154" s="14"/>
      <c r="Q154" s="14"/>
    </row>
    <row r="155" customFormat="false" ht="15" hidden="false" customHeight="false" outlineLevel="0" collapsed="false">
      <c r="A155" s="16"/>
      <c r="B155" s="14"/>
      <c r="C155" s="14" t="str">
        <f aca="false">IFERROR(IF($B155="","",INDEX(Inventory!$B$3:$B$253,MATCH($B155,Inventory!$A$3:$A$253,0))),"")</f>
        <v/>
      </c>
      <c r="D155" s="15"/>
      <c r="E155" s="11"/>
      <c r="F155" s="11" t="str">
        <f aca="false">IF($D155="","",$D155*$E155)</f>
        <v/>
      </c>
      <c r="G155" s="11" t="str">
        <f aca="false">IFERROR(IF($B155="","",INDEX(Inventory!$G$3:$G$253,MATCH($B155,Inventory!$A$3:$A$253,0))),"")</f>
        <v/>
      </c>
      <c r="H155" s="11" t="str">
        <f aca="false">IF($D155="","",$D155*IFERROR($G155+0,0))</f>
        <v/>
      </c>
      <c r="I155" s="11"/>
      <c r="J155" s="11"/>
      <c r="K155" s="11" t="str">
        <f aca="false">IF($F155="","",$F155-$I155-$J155)</f>
        <v/>
      </c>
      <c r="L155" s="11" t="str">
        <f aca="false">IF($K155="","",$K155-$H155)</f>
        <v/>
      </c>
      <c r="M155" s="12" t="str">
        <f aca="false">IF(OR($F155="",$F155=0),"",$L155/$F155)</f>
        <v/>
      </c>
      <c r="N155" s="14"/>
      <c r="O155" s="14"/>
      <c r="P155" s="14"/>
      <c r="Q155" s="14"/>
    </row>
    <row r="156" customFormat="false" ht="15" hidden="false" customHeight="false" outlineLevel="0" collapsed="false">
      <c r="A156" s="16"/>
      <c r="B156" s="14"/>
      <c r="C156" s="14" t="str">
        <f aca="false">IFERROR(IF($B156="","",INDEX(Inventory!$B$3:$B$253,MATCH($B156,Inventory!$A$3:$A$253,0))),"")</f>
        <v/>
      </c>
      <c r="D156" s="15"/>
      <c r="E156" s="11"/>
      <c r="F156" s="11" t="str">
        <f aca="false">IF($D156="","",$D156*$E156)</f>
        <v/>
      </c>
      <c r="G156" s="11" t="str">
        <f aca="false">IFERROR(IF($B156="","",INDEX(Inventory!$G$3:$G$253,MATCH($B156,Inventory!$A$3:$A$253,0))),"")</f>
        <v/>
      </c>
      <c r="H156" s="11" t="str">
        <f aca="false">IF($D156="","",$D156*IFERROR($G156+0,0))</f>
        <v/>
      </c>
      <c r="I156" s="11"/>
      <c r="J156" s="11"/>
      <c r="K156" s="11" t="str">
        <f aca="false">IF($F156="","",$F156-$I156-$J156)</f>
        <v/>
      </c>
      <c r="L156" s="11" t="str">
        <f aca="false">IF($K156="","",$K156-$H156)</f>
        <v/>
      </c>
      <c r="M156" s="12" t="str">
        <f aca="false">IF(OR($F156="",$F156=0),"",$L156/$F156)</f>
        <v/>
      </c>
      <c r="N156" s="14"/>
      <c r="O156" s="14"/>
      <c r="P156" s="14"/>
      <c r="Q156" s="14"/>
    </row>
    <row r="157" customFormat="false" ht="15" hidden="false" customHeight="false" outlineLevel="0" collapsed="false">
      <c r="A157" s="16"/>
      <c r="B157" s="14"/>
      <c r="C157" s="14" t="str">
        <f aca="false">IFERROR(IF($B157="","",INDEX(Inventory!$B$3:$B$253,MATCH($B157,Inventory!$A$3:$A$253,0))),"")</f>
        <v/>
      </c>
      <c r="D157" s="15"/>
      <c r="E157" s="11"/>
      <c r="F157" s="11" t="str">
        <f aca="false">IF($D157="","",$D157*$E157)</f>
        <v/>
      </c>
      <c r="G157" s="11" t="str">
        <f aca="false">IFERROR(IF($B157="","",INDEX(Inventory!$G$3:$G$253,MATCH($B157,Inventory!$A$3:$A$253,0))),"")</f>
        <v/>
      </c>
      <c r="H157" s="11" t="str">
        <f aca="false">IF($D157="","",$D157*IFERROR($G157+0,0))</f>
        <v/>
      </c>
      <c r="I157" s="11"/>
      <c r="J157" s="11"/>
      <c r="K157" s="11" t="str">
        <f aca="false">IF($F157="","",$F157-$I157-$J157)</f>
        <v/>
      </c>
      <c r="L157" s="11" t="str">
        <f aca="false">IF($K157="","",$K157-$H157)</f>
        <v/>
      </c>
      <c r="M157" s="12" t="str">
        <f aca="false">IF(OR($F157="",$F157=0),"",$L157/$F157)</f>
        <v/>
      </c>
      <c r="N157" s="14"/>
      <c r="O157" s="14"/>
      <c r="P157" s="14"/>
      <c r="Q157" s="14"/>
    </row>
    <row r="158" customFormat="false" ht="15" hidden="false" customHeight="false" outlineLevel="0" collapsed="false">
      <c r="A158" s="16"/>
      <c r="B158" s="14"/>
      <c r="C158" s="14" t="str">
        <f aca="false">IFERROR(IF($B158="","",INDEX(Inventory!$B$3:$B$253,MATCH($B158,Inventory!$A$3:$A$253,0))),"")</f>
        <v/>
      </c>
      <c r="D158" s="15"/>
      <c r="E158" s="11"/>
      <c r="F158" s="11" t="str">
        <f aca="false">IF($D158="","",$D158*$E158)</f>
        <v/>
      </c>
      <c r="G158" s="11" t="str">
        <f aca="false">IFERROR(IF($B158="","",INDEX(Inventory!$G$3:$G$253,MATCH($B158,Inventory!$A$3:$A$253,0))),"")</f>
        <v/>
      </c>
      <c r="H158" s="11" t="str">
        <f aca="false">IF($D158="","",$D158*IFERROR($G158+0,0))</f>
        <v/>
      </c>
      <c r="I158" s="11"/>
      <c r="J158" s="11"/>
      <c r="K158" s="11" t="str">
        <f aca="false">IF($F158="","",$F158-$I158-$J158)</f>
        <v/>
      </c>
      <c r="L158" s="11" t="str">
        <f aca="false">IF($K158="","",$K158-$H158)</f>
        <v/>
      </c>
      <c r="M158" s="12" t="str">
        <f aca="false">IF(OR($F158="",$F158=0),"",$L158/$F158)</f>
        <v/>
      </c>
      <c r="N158" s="14"/>
      <c r="O158" s="14"/>
      <c r="P158" s="14"/>
      <c r="Q158" s="14"/>
    </row>
    <row r="159" customFormat="false" ht="15" hidden="false" customHeight="false" outlineLevel="0" collapsed="false">
      <c r="A159" s="16"/>
      <c r="B159" s="14"/>
      <c r="C159" s="14" t="str">
        <f aca="false">IFERROR(IF($B159="","",INDEX(Inventory!$B$3:$B$253,MATCH($B159,Inventory!$A$3:$A$253,0))),"")</f>
        <v/>
      </c>
      <c r="D159" s="15"/>
      <c r="E159" s="11"/>
      <c r="F159" s="11" t="str">
        <f aca="false">IF($D159="","",$D159*$E159)</f>
        <v/>
      </c>
      <c r="G159" s="11" t="str">
        <f aca="false">IFERROR(IF($B159="","",INDEX(Inventory!$G$3:$G$253,MATCH($B159,Inventory!$A$3:$A$253,0))),"")</f>
        <v/>
      </c>
      <c r="H159" s="11" t="str">
        <f aca="false">IF($D159="","",$D159*IFERROR($G159+0,0))</f>
        <v/>
      </c>
      <c r="I159" s="11"/>
      <c r="J159" s="11"/>
      <c r="K159" s="11" t="str">
        <f aca="false">IF($F159="","",$F159-$I159-$J159)</f>
        <v/>
      </c>
      <c r="L159" s="11" t="str">
        <f aca="false">IF($K159="","",$K159-$H159)</f>
        <v/>
      </c>
      <c r="M159" s="12" t="str">
        <f aca="false">IF(OR($F159="",$F159=0),"",$L159/$F159)</f>
        <v/>
      </c>
      <c r="N159" s="14"/>
      <c r="O159" s="14"/>
      <c r="P159" s="14"/>
      <c r="Q159" s="14"/>
    </row>
    <row r="160" customFormat="false" ht="15" hidden="false" customHeight="false" outlineLevel="0" collapsed="false">
      <c r="A160" s="16"/>
      <c r="B160" s="14"/>
      <c r="C160" s="14" t="str">
        <f aca="false">IFERROR(IF($B160="","",INDEX(Inventory!$B$3:$B$253,MATCH($B160,Inventory!$A$3:$A$253,0))),"")</f>
        <v/>
      </c>
      <c r="D160" s="15"/>
      <c r="E160" s="11"/>
      <c r="F160" s="11" t="str">
        <f aca="false">IF($D160="","",$D160*$E160)</f>
        <v/>
      </c>
      <c r="G160" s="11" t="str">
        <f aca="false">IFERROR(IF($B160="","",INDEX(Inventory!$G$3:$G$253,MATCH($B160,Inventory!$A$3:$A$253,0))),"")</f>
        <v/>
      </c>
      <c r="H160" s="11" t="str">
        <f aca="false">IF($D160="","",$D160*IFERROR($G160+0,0))</f>
        <v/>
      </c>
      <c r="I160" s="11"/>
      <c r="J160" s="11"/>
      <c r="K160" s="11" t="str">
        <f aca="false">IF($F160="","",$F160-$I160-$J160)</f>
        <v/>
      </c>
      <c r="L160" s="11" t="str">
        <f aca="false">IF($K160="","",$K160-$H160)</f>
        <v/>
      </c>
      <c r="M160" s="12" t="str">
        <f aca="false">IF(OR($F160="",$F160=0),"",$L160/$F160)</f>
        <v/>
      </c>
      <c r="N160" s="14"/>
      <c r="O160" s="14"/>
      <c r="P160" s="14"/>
      <c r="Q160" s="14"/>
    </row>
    <row r="161" customFormat="false" ht="15" hidden="false" customHeight="false" outlineLevel="0" collapsed="false">
      <c r="A161" s="16"/>
      <c r="B161" s="14"/>
      <c r="C161" s="14" t="str">
        <f aca="false">IFERROR(IF($B161="","",INDEX(Inventory!$B$3:$B$253,MATCH($B161,Inventory!$A$3:$A$253,0))),"")</f>
        <v/>
      </c>
      <c r="D161" s="15"/>
      <c r="E161" s="11"/>
      <c r="F161" s="11" t="str">
        <f aca="false">IF($D161="","",$D161*$E161)</f>
        <v/>
      </c>
      <c r="G161" s="11" t="str">
        <f aca="false">IFERROR(IF($B161="","",INDEX(Inventory!$G$3:$G$253,MATCH($B161,Inventory!$A$3:$A$253,0))),"")</f>
        <v/>
      </c>
      <c r="H161" s="11" t="str">
        <f aca="false">IF($D161="","",$D161*IFERROR($G161+0,0))</f>
        <v/>
      </c>
      <c r="I161" s="11"/>
      <c r="J161" s="11"/>
      <c r="K161" s="11" t="str">
        <f aca="false">IF($F161="","",$F161-$I161-$J161)</f>
        <v/>
      </c>
      <c r="L161" s="11" t="str">
        <f aca="false">IF($K161="","",$K161-$H161)</f>
        <v/>
      </c>
      <c r="M161" s="12" t="str">
        <f aca="false">IF(OR($F161="",$F161=0),"",$L161/$F161)</f>
        <v/>
      </c>
      <c r="N161" s="14"/>
      <c r="O161" s="14"/>
      <c r="P161" s="14"/>
      <c r="Q161" s="14"/>
    </row>
    <row r="162" customFormat="false" ht="15" hidden="false" customHeight="false" outlineLevel="0" collapsed="false">
      <c r="A162" s="16"/>
      <c r="B162" s="14"/>
      <c r="C162" s="14" t="str">
        <f aca="false">IFERROR(IF($B162="","",INDEX(Inventory!$B$3:$B$253,MATCH($B162,Inventory!$A$3:$A$253,0))),"")</f>
        <v/>
      </c>
      <c r="D162" s="15"/>
      <c r="E162" s="11"/>
      <c r="F162" s="11" t="str">
        <f aca="false">IF($D162="","",$D162*$E162)</f>
        <v/>
      </c>
      <c r="G162" s="11" t="str">
        <f aca="false">IFERROR(IF($B162="","",INDEX(Inventory!$G$3:$G$253,MATCH($B162,Inventory!$A$3:$A$253,0))),"")</f>
        <v/>
      </c>
      <c r="H162" s="11" t="str">
        <f aca="false">IF($D162="","",$D162*IFERROR($G162+0,0))</f>
        <v/>
      </c>
      <c r="I162" s="11"/>
      <c r="J162" s="11"/>
      <c r="K162" s="11" t="str">
        <f aca="false">IF($F162="","",$F162-$I162-$J162)</f>
        <v/>
      </c>
      <c r="L162" s="11" t="str">
        <f aca="false">IF($K162="","",$K162-$H162)</f>
        <v/>
      </c>
      <c r="M162" s="12" t="str">
        <f aca="false">IF(OR($F162="",$F162=0),"",$L162/$F162)</f>
        <v/>
      </c>
      <c r="N162" s="14"/>
      <c r="O162" s="14"/>
      <c r="P162" s="14"/>
      <c r="Q162" s="14"/>
    </row>
    <row r="163" customFormat="false" ht="15" hidden="false" customHeight="false" outlineLevel="0" collapsed="false">
      <c r="A163" s="16"/>
      <c r="B163" s="14"/>
      <c r="C163" s="14" t="str">
        <f aca="false">IFERROR(IF($B163="","",INDEX(Inventory!$B$3:$B$253,MATCH($B163,Inventory!$A$3:$A$253,0))),"")</f>
        <v/>
      </c>
      <c r="D163" s="15"/>
      <c r="E163" s="11"/>
      <c r="F163" s="11" t="str">
        <f aca="false">IF($D163="","",$D163*$E163)</f>
        <v/>
      </c>
      <c r="G163" s="11" t="str">
        <f aca="false">IFERROR(IF($B163="","",INDEX(Inventory!$G$3:$G$253,MATCH($B163,Inventory!$A$3:$A$253,0))),"")</f>
        <v/>
      </c>
      <c r="H163" s="11" t="str">
        <f aca="false">IF($D163="","",$D163*IFERROR($G163+0,0))</f>
        <v/>
      </c>
      <c r="I163" s="11"/>
      <c r="J163" s="11"/>
      <c r="K163" s="11" t="str">
        <f aca="false">IF($F163="","",$F163-$I163-$J163)</f>
        <v/>
      </c>
      <c r="L163" s="11" t="str">
        <f aca="false">IF($K163="","",$K163-$H163)</f>
        <v/>
      </c>
      <c r="M163" s="12" t="str">
        <f aca="false">IF(OR($F163="",$F163=0),"",$L163/$F163)</f>
        <v/>
      </c>
      <c r="N163" s="14"/>
      <c r="O163" s="14"/>
      <c r="P163" s="14"/>
      <c r="Q163" s="14"/>
    </row>
    <row r="164" customFormat="false" ht="15" hidden="false" customHeight="false" outlineLevel="0" collapsed="false">
      <c r="A164" s="16"/>
      <c r="B164" s="14"/>
      <c r="C164" s="14" t="str">
        <f aca="false">IFERROR(IF($B164="","",INDEX(Inventory!$B$3:$B$253,MATCH($B164,Inventory!$A$3:$A$253,0))),"")</f>
        <v/>
      </c>
      <c r="D164" s="15"/>
      <c r="E164" s="11"/>
      <c r="F164" s="11" t="str">
        <f aca="false">IF($D164="","",$D164*$E164)</f>
        <v/>
      </c>
      <c r="G164" s="11" t="str">
        <f aca="false">IFERROR(IF($B164="","",INDEX(Inventory!$G$3:$G$253,MATCH($B164,Inventory!$A$3:$A$253,0))),"")</f>
        <v/>
      </c>
      <c r="H164" s="11" t="str">
        <f aca="false">IF($D164="","",$D164*IFERROR($G164+0,0))</f>
        <v/>
      </c>
      <c r="I164" s="11"/>
      <c r="J164" s="11"/>
      <c r="K164" s="11" t="str">
        <f aca="false">IF($F164="","",$F164-$I164-$J164)</f>
        <v/>
      </c>
      <c r="L164" s="11" t="str">
        <f aca="false">IF($K164="","",$K164-$H164)</f>
        <v/>
      </c>
      <c r="M164" s="12" t="str">
        <f aca="false">IF(OR($F164="",$F164=0),"",$L164/$F164)</f>
        <v/>
      </c>
      <c r="N164" s="14"/>
      <c r="O164" s="14"/>
      <c r="P164" s="14"/>
      <c r="Q164" s="14"/>
    </row>
    <row r="165" customFormat="false" ht="15" hidden="false" customHeight="false" outlineLevel="0" collapsed="false">
      <c r="A165" s="16"/>
      <c r="B165" s="14"/>
      <c r="C165" s="14" t="str">
        <f aca="false">IFERROR(IF($B165="","",INDEX(Inventory!$B$3:$B$253,MATCH($B165,Inventory!$A$3:$A$253,0))),"")</f>
        <v/>
      </c>
      <c r="D165" s="15"/>
      <c r="E165" s="11"/>
      <c r="F165" s="11" t="str">
        <f aca="false">IF($D165="","",$D165*$E165)</f>
        <v/>
      </c>
      <c r="G165" s="11" t="str">
        <f aca="false">IFERROR(IF($B165="","",INDEX(Inventory!$G$3:$G$253,MATCH($B165,Inventory!$A$3:$A$253,0))),"")</f>
        <v/>
      </c>
      <c r="H165" s="11" t="str">
        <f aca="false">IF($D165="","",$D165*IFERROR($G165+0,0))</f>
        <v/>
      </c>
      <c r="I165" s="11"/>
      <c r="J165" s="11"/>
      <c r="K165" s="11" t="str">
        <f aca="false">IF($F165="","",$F165-$I165-$J165)</f>
        <v/>
      </c>
      <c r="L165" s="11" t="str">
        <f aca="false">IF($K165="","",$K165-$H165)</f>
        <v/>
      </c>
      <c r="M165" s="12" t="str">
        <f aca="false">IF(OR($F165="",$F165=0),"",$L165/$F165)</f>
        <v/>
      </c>
      <c r="N165" s="14"/>
      <c r="O165" s="14"/>
      <c r="P165" s="14"/>
      <c r="Q165" s="14"/>
    </row>
    <row r="166" customFormat="false" ht="15" hidden="false" customHeight="false" outlineLevel="0" collapsed="false">
      <c r="A166" s="16"/>
      <c r="B166" s="14"/>
      <c r="C166" s="14" t="str">
        <f aca="false">IFERROR(IF($B166="","",INDEX(Inventory!$B$3:$B$253,MATCH($B166,Inventory!$A$3:$A$253,0))),"")</f>
        <v/>
      </c>
      <c r="D166" s="15"/>
      <c r="E166" s="11"/>
      <c r="F166" s="11" t="str">
        <f aca="false">IF($D166="","",$D166*$E166)</f>
        <v/>
      </c>
      <c r="G166" s="11" t="str">
        <f aca="false">IFERROR(IF($B166="","",INDEX(Inventory!$G$3:$G$253,MATCH($B166,Inventory!$A$3:$A$253,0))),"")</f>
        <v/>
      </c>
      <c r="H166" s="11" t="str">
        <f aca="false">IF($D166="","",$D166*IFERROR($G166+0,0))</f>
        <v/>
      </c>
      <c r="I166" s="11"/>
      <c r="J166" s="11"/>
      <c r="K166" s="11" t="str">
        <f aca="false">IF($F166="","",$F166-$I166-$J166)</f>
        <v/>
      </c>
      <c r="L166" s="11" t="str">
        <f aca="false">IF($K166="","",$K166-$H166)</f>
        <v/>
      </c>
      <c r="M166" s="12" t="str">
        <f aca="false">IF(OR($F166="",$F166=0),"",$L166/$F166)</f>
        <v/>
      </c>
      <c r="N166" s="14"/>
      <c r="O166" s="14"/>
      <c r="P166" s="14"/>
      <c r="Q166" s="14"/>
    </row>
    <row r="167" customFormat="false" ht="15" hidden="false" customHeight="false" outlineLevel="0" collapsed="false">
      <c r="A167" s="16"/>
      <c r="B167" s="14"/>
      <c r="C167" s="14" t="str">
        <f aca="false">IFERROR(IF($B167="","",INDEX(Inventory!$B$3:$B$253,MATCH($B167,Inventory!$A$3:$A$253,0))),"")</f>
        <v/>
      </c>
      <c r="D167" s="15"/>
      <c r="E167" s="11"/>
      <c r="F167" s="11" t="str">
        <f aca="false">IF($D167="","",$D167*$E167)</f>
        <v/>
      </c>
      <c r="G167" s="11" t="str">
        <f aca="false">IFERROR(IF($B167="","",INDEX(Inventory!$G$3:$G$253,MATCH($B167,Inventory!$A$3:$A$253,0))),"")</f>
        <v/>
      </c>
      <c r="H167" s="11" t="str">
        <f aca="false">IF($D167="","",$D167*IFERROR($G167+0,0))</f>
        <v/>
      </c>
      <c r="I167" s="11"/>
      <c r="J167" s="11"/>
      <c r="K167" s="11" t="str">
        <f aca="false">IF($F167="","",$F167-$I167-$J167)</f>
        <v/>
      </c>
      <c r="L167" s="11" t="str">
        <f aca="false">IF($K167="","",$K167-$H167)</f>
        <v/>
      </c>
      <c r="M167" s="12" t="str">
        <f aca="false">IF(OR($F167="",$F167=0),"",$L167/$F167)</f>
        <v/>
      </c>
      <c r="N167" s="14"/>
      <c r="O167" s="14"/>
      <c r="P167" s="14"/>
      <c r="Q167" s="14"/>
    </row>
    <row r="168" customFormat="false" ht="15" hidden="false" customHeight="false" outlineLevel="0" collapsed="false">
      <c r="A168" s="16"/>
      <c r="B168" s="14"/>
      <c r="C168" s="14" t="str">
        <f aca="false">IFERROR(IF($B168="","",INDEX(Inventory!$B$3:$B$253,MATCH($B168,Inventory!$A$3:$A$253,0))),"")</f>
        <v/>
      </c>
      <c r="D168" s="15"/>
      <c r="E168" s="11"/>
      <c r="F168" s="11" t="str">
        <f aca="false">IF($D168="","",$D168*$E168)</f>
        <v/>
      </c>
      <c r="G168" s="11" t="str">
        <f aca="false">IFERROR(IF($B168="","",INDEX(Inventory!$G$3:$G$253,MATCH($B168,Inventory!$A$3:$A$253,0))),"")</f>
        <v/>
      </c>
      <c r="H168" s="11" t="str">
        <f aca="false">IF($D168="","",$D168*IFERROR($G168+0,0))</f>
        <v/>
      </c>
      <c r="I168" s="11"/>
      <c r="J168" s="11"/>
      <c r="K168" s="11" t="str">
        <f aca="false">IF($F168="","",$F168-$I168-$J168)</f>
        <v/>
      </c>
      <c r="L168" s="11" t="str">
        <f aca="false">IF($K168="","",$K168-$H168)</f>
        <v/>
      </c>
      <c r="M168" s="12" t="str">
        <f aca="false">IF(OR($F168="",$F168=0),"",$L168/$F168)</f>
        <v/>
      </c>
      <c r="N168" s="14"/>
      <c r="O168" s="14"/>
      <c r="P168" s="14"/>
      <c r="Q168" s="14"/>
    </row>
    <row r="169" customFormat="false" ht="15" hidden="false" customHeight="false" outlineLevel="0" collapsed="false">
      <c r="A169" s="16"/>
      <c r="B169" s="14"/>
      <c r="C169" s="14" t="str">
        <f aca="false">IFERROR(IF($B169="","",INDEX(Inventory!$B$3:$B$253,MATCH($B169,Inventory!$A$3:$A$253,0))),"")</f>
        <v/>
      </c>
      <c r="D169" s="15"/>
      <c r="E169" s="11"/>
      <c r="F169" s="11" t="str">
        <f aca="false">IF($D169="","",$D169*$E169)</f>
        <v/>
      </c>
      <c r="G169" s="11" t="str">
        <f aca="false">IFERROR(IF($B169="","",INDEX(Inventory!$G$3:$G$253,MATCH($B169,Inventory!$A$3:$A$253,0))),"")</f>
        <v/>
      </c>
      <c r="H169" s="11" t="str">
        <f aca="false">IF($D169="","",$D169*IFERROR($G169+0,0))</f>
        <v/>
      </c>
      <c r="I169" s="11"/>
      <c r="J169" s="11"/>
      <c r="K169" s="11" t="str">
        <f aca="false">IF($F169="","",$F169-$I169-$J169)</f>
        <v/>
      </c>
      <c r="L169" s="11" t="str">
        <f aca="false">IF($K169="","",$K169-$H169)</f>
        <v/>
      </c>
      <c r="M169" s="12" t="str">
        <f aca="false">IF(OR($F169="",$F169=0),"",$L169/$F169)</f>
        <v/>
      </c>
      <c r="N169" s="14"/>
      <c r="O169" s="14"/>
      <c r="P169" s="14"/>
      <c r="Q169" s="14"/>
    </row>
    <row r="170" customFormat="false" ht="15" hidden="false" customHeight="false" outlineLevel="0" collapsed="false">
      <c r="A170" s="16"/>
      <c r="B170" s="14"/>
      <c r="C170" s="14" t="str">
        <f aca="false">IFERROR(IF($B170="","",INDEX(Inventory!$B$3:$B$253,MATCH($B170,Inventory!$A$3:$A$253,0))),"")</f>
        <v/>
      </c>
      <c r="D170" s="15"/>
      <c r="E170" s="11"/>
      <c r="F170" s="11" t="str">
        <f aca="false">IF($D170="","",$D170*$E170)</f>
        <v/>
      </c>
      <c r="G170" s="11" t="str">
        <f aca="false">IFERROR(IF($B170="","",INDEX(Inventory!$G$3:$G$253,MATCH($B170,Inventory!$A$3:$A$253,0))),"")</f>
        <v/>
      </c>
      <c r="H170" s="11" t="str">
        <f aca="false">IF($D170="","",$D170*IFERROR($G170+0,0))</f>
        <v/>
      </c>
      <c r="I170" s="11"/>
      <c r="J170" s="11"/>
      <c r="K170" s="11" t="str">
        <f aca="false">IF($F170="","",$F170-$I170-$J170)</f>
        <v/>
      </c>
      <c r="L170" s="11" t="str">
        <f aca="false">IF($K170="","",$K170-$H170)</f>
        <v/>
      </c>
      <c r="M170" s="12" t="str">
        <f aca="false">IF(OR($F170="",$F170=0),"",$L170/$F170)</f>
        <v/>
      </c>
      <c r="N170" s="14"/>
      <c r="O170" s="14"/>
      <c r="P170" s="14"/>
      <c r="Q170" s="14"/>
    </row>
    <row r="171" customFormat="false" ht="15" hidden="false" customHeight="false" outlineLevel="0" collapsed="false">
      <c r="A171" s="16"/>
      <c r="B171" s="14"/>
      <c r="C171" s="14" t="str">
        <f aca="false">IFERROR(IF($B171="","",INDEX(Inventory!$B$3:$B$253,MATCH($B171,Inventory!$A$3:$A$253,0))),"")</f>
        <v/>
      </c>
      <c r="D171" s="15"/>
      <c r="E171" s="11"/>
      <c r="F171" s="11" t="str">
        <f aca="false">IF($D171="","",$D171*$E171)</f>
        <v/>
      </c>
      <c r="G171" s="11" t="str">
        <f aca="false">IFERROR(IF($B171="","",INDEX(Inventory!$G$3:$G$253,MATCH($B171,Inventory!$A$3:$A$253,0))),"")</f>
        <v/>
      </c>
      <c r="H171" s="11" t="str">
        <f aca="false">IF($D171="","",$D171*IFERROR($G171+0,0))</f>
        <v/>
      </c>
      <c r="I171" s="11"/>
      <c r="J171" s="11"/>
      <c r="K171" s="11" t="str">
        <f aca="false">IF($F171="","",$F171-$I171-$J171)</f>
        <v/>
      </c>
      <c r="L171" s="11" t="str">
        <f aca="false">IF($K171="","",$K171-$H171)</f>
        <v/>
      </c>
      <c r="M171" s="12" t="str">
        <f aca="false">IF(OR($F171="",$F171=0),"",$L171/$F171)</f>
        <v/>
      </c>
      <c r="N171" s="14"/>
      <c r="O171" s="14"/>
      <c r="P171" s="14"/>
      <c r="Q171" s="14"/>
    </row>
    <row r="172" customFormat="false" ht="15" hidden="false" customHeight="false" outlineLevel="0" collapsed="false">
      <c r="A172" s="16"/>
      <c r="B172" s="14"/>
      <c r="C172" s="14" t="str">
        <f aca="false">IFERROR(IF($B172="","",INDEX(Inventory!$B$3:$B$253,MATCH($B172,Inventory!$A$3:$A$253,0))),"")</f>
        <v/>
      </c>
      <c r="D172" s="15"/>
      <c r="E172" s="11"/>
      <c r="F172" s="11" t="str">
        <f aca="false">IF($D172="","",$D172*$E172)</f>
        <v/>
      </c>
      <c r="G172" s="11" t="str">
        <f aca="false">IFERROR(IF($B172="","",INDEX(Inventory!$G$3:$G$253,MATCH($B172,Inventory!$A$3:$A$253,0))),"")</f>
        <v/>
      </c>
      <c r="H172" s="11" t="str">
        <f aca="false">IF($D172="","",$D172*IFERROR($G172+0,0))</f>
        <v/>
      </c>
      <c r="I172" s="11"/>
      <c r="J172" s="11"/>
      <c r="K172" s="11" t="str">
        <f aca="false">IF($F172="","",$F172-$I172-$J172)</f>
        <v/>
      </c>
      <c r="L172" s="11" t="str">
        <f aca="false">IF($K172="","",$K172-$H172)</f>
        <v/>
      </c>
      <c r="M172" s="12" t="str">
        <f aca="false">IF(OR($F172="",$F172=0),"",$L172/$F172)</f>
        <v/>
      </c>
      <c r="N172" s="14"/>
      <c r="O172" s="14"/>
      <c r="P172" s="14"/>
      <c r="Q172" s="14"/>
    </row>
    <row r="173" customFormat="false" ht="15" hidden="false" customHeight="false" outlineLevel="0" collapsed="false">
      <c r="A173" s="16"/>
      <c r="B173" s="14"/>
      <c r="C173" s="14" t="str">
        <f aca="false">IFERROR(IF($B173="","",INDEX(Inventory!$B$3:$B$253,MATCH($B173,Inventory!$A$3:$A$253,0))),"")</f>
        <v/>
      </c>
      <c r="D173" s="15"/>
      <c r="E173" s="11"/>
      <c r="F173" s="11" t="str">
        <f aca="false">IF($D173="","",$D173*$E173)</f>
        <v/>
      </c>
      <c r="G173" s="11" t="str">
        <f aca="false">IFERROR(IF($B173="","",INDEX(Inventory!$G$3:$G$253,MATCH($B173,Inventory!$A$3:$A$253,0))),"")</f>
        <v/>
      </c>
      <c r="H173" s="11" t="str">
        <f aca="false">IF($D173="","",$D173*IFERROR($G173+0,0))</f>
        <v/>
      </c>
      <c r="I173" s="11"/>
      <c r="J173" s="11"/>
      <c r="K173" s="11" t="str">
        <f aca="false">IF($F173="","",$F173-$I173-$J173)</f>
        <v/>
      </c>
      <c r="L173" s="11" t="str">
        <f aca="false">IF($K173="","",$K173-$H173)</f>
        <v/>
      </c>
      <c r="M173" s="12" t="str">
        <f aca="false">IF(OR($F173="",$F173=0),"",$L173/$F173)</f>
        <v/>
      </c>
      <c r="N173" s="14"/>
      <c r="O173" s="14"/>
      <c r="P173" s="14"/>
      <c r="Q173" s="14"/>
    </row>
    <row r="174" customFormat="false" ht="15" hidden="false" customHeight="false" outlineLevel="0" collapsed="false">
      <c r="A174" s="16"/>
      <c r="B174" s="14"/>
      <c r="C174" s="14" t="str">
        <f aca="false">IFERROR(IF($B174="","",INDEX(Inventory!$B$3:$B$253,MATCH($B174,Inventory!$A$3:$A$253,0))),"")</f>
        <v/>
      </c>
      <c r="D174" s="15"/>
      <c r="E174" s="11"/>
      <c r="F174" s="11" t="str">
        <f aca="false">IF($D174="","",$D174*$E174)</f>
        <v/>
      </c>
      <c r="G174" s="11" t="str">
        <f aca="false">IFERROR(IF($B174="","",INDEX(Inventory!$G$3:$G$253,MATCH($B174,Inventory!$A$3:$A$253,0))),"")</f>
        <v/>
      </c>
      <c r="H174" s="11" t="str">
        <f aca="false">IF($D174="","",$D174*IFERROR($G174+0,0))</f>
        <v/>
      </c>
      <c r="I174" s="11"/>
      <c r="J174" s="11"/>
      <c r="K174" s="11" t="str">
        <f aca="false">IF($F174="","",$F174-$I174-$J174)</f>
        <v/>
      </c>
      <c r="L174" s="11" t="str">
        <f aca="false">IF($K174="","",$K174-$H174)</f>
        <v/>
      </c>
      <c r="M174" s="12" t="str">
        <f aca="false">IF(OR($F174="",$F174=0),"",$L174/$F174)</f>
        <v/>
      </c>
      <c r="N174" s="14"/>
      <c r="O174" s="14"/>
      <c r="P174" s="14"/>
      <c r="Q174" s="14"/>
    </row>
    <row r="175" customFormat="false" ht="15" hidden="false" customHeight="false" outlineLevel="0" collapsed="false">
      <c r="A175" s="16"/>
      <c r="B175" s="14"/>
      <c r="C175" s="14" t="str">
        <f aca="false">IFERROR(IF($B175="","",INDEX(Inventory!$B$3:$B$253,MATCH($B175,Inventory!$A$3:$A$253,0))),"")</f>
        <v/>
      </c>
      <c r="D175" s="15"/>
      <c r="E175" s="11"/>
      <c r="F175" s="11" t="str">
        <f aca="false">IF($D175="","",$D175*$E175)</f>
        <v/>
      </c>
      <c r="G175" s="11" t="str">
        <f aca="false">IFERROR(IF($B175="","",INDEX(Inventory!$G$3:$G$253,MATCH($B175,Inventory!$A$3:$A$253,0))),"")</f>
        <v/>
      </c>
      <c r="H175" s="11" t="str">
        <f aca="false">IF($D175="","",$D175*IFERROR($G175+0,0))</f>
        <v/>
      </c>
      <c r="I175" s="11"/>
      <c r="J175" s="11"/>
      <c r="K175" s="11" t="str">
        <f aca="false">IF($F175="","",$F175-$I175-$J175)</f>
        <v/>
      </c>
      <c r="L175" s="11" t="str">
        <f aca="false">IF($K175="","",$K175-$H175)</f>
        <v/>
      </c>
      <c r="M175" s="12" t="str">
        <f aca="false">IF(OR($F175="",$F175=0),"",$L175/$F175)</f>
        <v/>
      </c>
      <c r="N175" s="14"/>
      <c r="O175" s="14"/>
      <c r="P175" s="14"/>
      <c r="Q175" s="14"/>
    </row>
    <row r="176" customFormat="false" ht="15" hidden="false" customHeight="false" outlineLevel="0" collapsed="false">
      <c r="A176" s="16"/>
      <c r="B176" s="14"/>
      <c r="C176" s="14" t="str">
        <f aca="false">IFERROR(IF($B176="","",INDEX(Inventory!$B$3:$B$253,MATCH($B176,Inventory!$A$3:$A$253,0))),"")</f>
        <v/>
      </c>
      <c r="D176" s="15"/>
      <c r="E176" s="11"/>
      <c r="F176" s="11" t="str">
        <f aca="false">IF($D176="","",$D176*$E176)</f>
        <v/>
      </c>
      <c r="G176" s="11" t="str">
        <f aca="false">IFERROR(IF($B176="","",INDEX(Inventory!$G$3:$G$253,MATCH($B176,Inventory!$A$3:$A$253,0))),"")</f>
        <v/>
      </c>
      <c r="H176" s="11" t="str">
        <f aca="false">IF($D176="","",$D176*IFERROR($G176+0,0))</f>
        <v/>
      </c>
      <c r="I176" s="11"/>
      <c r="J176" s="11"/>
      <c r="K176" s="11" t="str">
        <f aca="false">IF($F176="","",$F176-$I176-$J176)</f>
        <v/>
      </c>
      <c r="L176" s="11" t="str">
        <f aca="false">IF($K176="","",$K176-$H176)</f>
        <v/>
      </c>
      <c r="M176" s="12" t="str">
        <f aca="false">IF(OR($F176="",$F176=0),"",$L176/$F176)</f>
        <v/>
      </c>
      <c r="N176" s="14"/>
      <c r="O176" s="14"/>
      <c r="P176" s="14"/>
      <c r="Q176" s="14"/>
    </row>
    <row r="177" customFormat="false" ht="15" hidden="false" customHeight="false" outlineLevel="0" collapsed="false">
      <c r="A177" s="16"/>
      <c r="B177" s="14"/>
      <c r="C177" s="14" t="str">
        <f aca="false">IFERROR(IF($B177="","",INDEX(Inventory!$B$3:$B$253,MATCH($B177,Inventory!$A$3:$A$253,0))),"")</f>
        <v/>
      </c>
      <c r="D177" s="15"/>
      <c r="E177" s="11"/>
      <c r="F177" s="11" t="str">
        <f aca="false">IF($D177="","",$D177*$E177)</f>
        <v/>
      </c>
      <c r="G177" s="11" t="str">
        <f aca="false">IFERROR(IF($B177="","",INDEX(Inventory!$G$3:$G$253,MATCH($B177,Inventory!$A$3:$A$253,0))),"")</f>
        <v/>
      </c>
      <c r="H177" s="11" t="str">
        <f aca="false">IF($D177="","",$D177*IFERROR($G177+0,0))</f>
        <v/>
      </c>
      <c r="I177" s="11"/>
      <c r="J177" s="11"/>
      <c r="K177" s="11" t="str">
        <f aca="false">IF($F177="","",$F177-$I177-$J177)</f>
        <v/>
      </c>
      <c r="L177" s="11" t="str">
        <f aca="false">IF($K177="","",$K177-$H177)</f>
        <v/>
      </c>
      <c r="M177" s="12" t="str">
        <f aca="false">IF(OR($F177="",$F177=0),"",$L177/$F177)</f>
        <v/>
      </c>
      <c r="N177" s="14"/>
      <c r="O177" s="14"/>
      <c r="P177" s="14"/>
      <c r="Q177" s="14"/>
    </row>
    <row r="178" customFormat="false" ht="15" hidden="false" customHeight="false" outlineLevel="0" collapsed="false">
      <c r="A178" s="16"/>
      <c r="B178" s="14"/>
      <c r="C178" s="14" t="str">
        <f aca="false">IFERROR(IF($B178="","",INDEX(Inventory!$B$3:$B$253,MATCH($B178,Inventory!$A$3:$A$253,0))),"")</f>
        <v/>
      </c>
      <c r="D178" s="15"/>
      <c r="E178" s="11"/>
      <c r="F178" s="11" t="str">
        <f aca="false">IF($D178="","",$D178*$E178)</f>
        <v/>
      </c>
      <c r="G178" s="11" t="str">
        <f aca="false">IFERROR(IF($B178="","",INDEX(Inventory!$G$3:$G$253,MATCH($B178,Inventory!$A$3:$A$253,0))),"")</f>
        <v/>
      </c>
      <c r="H178" s="11" t="str">
        <f aca="false">IF($D178="","",$D178*IFERROR($G178+0,0))</f>
        <v/>
      </c>
      <c r="I178" s="11"/>
      <c r="J178" s="11"/>
      <c r="K178" s="11" t="str">
        <f aca="false">IF($F178="","",$F178-$I178-$J178)</f>
        <v/>
      </c>
      <c r="L178" s="11" t="str">
        <f aca="false">IF($K178="","",$K178-$H178)</f>
        <v/>
      </c>
      <c r="M178" s="12" t="str">
        <f aca="false">IF(OR($F178="",$F178=0),"",$L178/$F178)</f>
        <v/>
      </c>
      <c r="N178" s="14"/>
      <c r="O178" s="14"/>
      <c r="P178" s="14"/>
      <c r="Q178" s="14"/>
    </row>
    <row r="179" customFormat="false" ht="15" hidden="false" customHeight="false" outlineLevel="0" collapsed="false">
      <c r="A179" s="16"/>
      <c r="B179" s="14"/>
      <c r="C179" s="14" t="str">
        <f aca="false">IFERROR(IF($B179="","",INDEX(Inventory!$B$3:$B$253,MATCH($B179,Inventory!$A$3:$A$253,0))),"")</f>
        <v/>
      </c>
      <c r="D179" s="15"/>
      <c r="E179" s="11"/>
      <c r="F179" s="11" t="str">
        <f aca="false">IF($D179="","",$D179*$E179)</f>
        <v/>
      </c>
      <c r="G179" s="11" t="str">
        <f aca="false">IFERROR(IF($B179="","",INDEX(Inventory!$G$3:$G$253,MATCH($B179,Inventory!$A$3:$A$253,0))),"")</f>
        <v/>
      </c>
      <c r="H179" s="11" t="str">
        <f aca="false">IF($D179="","",$D179*IFERROR($G179+0,0))</f>
        <v/>
      </c>
      <c r="I179" s="11"/>
      <c r="J179" s="11"/>
      <c r="K179" s="11" t="str">
        <f aca="false">IF($F179="","",$F179-$I179-$J179)</f>
        <v/>
      </c>
      <c r="L179" s="11" t="str">
        <f aca="false">IF($K179="","",$K179-$H179)</f>
        <v/>
      </c>
      <c r="M179" s="12" t="str">
        <f aca="false">IF(OR($F179="",$F179=0),"",$L179/$F179)</f>
        <v/>
      </c>
      <c r="N179" s="14"/>
      <c r="O179" s="14"/>
      <c r="P179" s="14"/>
      <c r="Q179" s="14"/>
    </row>
    <row r="180" customFormat="false" ht="15" hidden="false" customHeight="false" outlineLevel="0" collapsed="false">
      <c r="A180" s="16"/>
      <c r="B180" s="14"/>
      <c r="C180" s="14" t="str">
        <f aca="false">IFERROR(IF($B180="","",INDEX(Inventory!$B$3:$B$253,MATCH($B180,Inventory!$A$3:$A$253,0))),"")</f>
        <v/>
      </c>
      <c r="D180" s="15"/>
      <c r="E180" s="11"/>
      <c r="F180" s="11" t="str">
        <f aca="false">IF($D180="","",$D180*$E180)</f>
        <v/>
      </c>
      <c r="G180" s="11" t="str">
        <f aca="false">IFERROR(IF($B180="","",INDEX(Inventory!$G$3:$G$253,MATCH($B180,Inventory!$A$3:$A$253,0))),"")</f>
        <v/>
      </c>
      <c r="H180" s="11" t="str">
        <f aca="false">IF($D180="","",$D180*IFERROR($G180+0,0))</f>
        <v/>
      </c>
      <c r="I180" s="11"/>
      <c r="J180" s="11"/>
      <c r="K180" s="11" t="str">
        <f aca="false">IF($F180="","",$F180-$I180-$J180)</f>
        <v/>
      </c>
      <c r="L180" s="11" t="str">
        <f aca="false">IF($K180="","",$K180-$H180)</f>
        <v/>
      </c>
      <c r="M180" s="12" t="str">
        <f aca="false">IF(OR($F180="",$F180=0),"",$L180/$F180)</f>
        <v/>
      </c>
      <c r="N180" s="14"/>
      <c r="O180" s="14"/>
      <c r="P180" s="14"/>
      <c r="Q180" s="14"/>
    </row>
    <row r="181" customFormat="false" ht="15" hidden="false" customHeight="false" outlineLevel="0" collapsed="false">
      <c r="A181" s="16"/>
      <c r="B181" s="14"/>
      <c r="C181" s="14" t="str">
        <f aca="false">IFERROR(IF($B181="","",INDEX(Inventory!$B$3:$B$253,MATCH($B181,Inventory!$A$3:$A$253,0))),"")</f>
        <v/>
      </c>
      <c r="D181" s="15"/>
      <c r="E181" s="11"/>
      <c r="F181" s="11" t="str">
        <f aca="false">IF($D181="","",$D181*$E181)</f>
        <v/>
      </c>
      <c r="G181" s="11" t="str">
        <f aca="false">IFERROR(IF($B181="","",INDEX(Inventory!$G$3:$G$253,MATCH($B181,Inventory!$A$3:$A$253,0))),"")</f>
        <v/>
      </c>
      <c r="H181" s="11" t="str">
        <f aca="false">IF($D181="","",$D181*IFERROR($G181+0,0))</f>
        <v/>
      </c>
      <c r="I181" s="11"/>
      <c r="J181" s="11"/>
      <c r="K181" s="11" t="str">
        <f aca="false">IF($F181="","",$F181-$I181-$J181)</f>
        <v/>
      </c>
      <c r="L181" s="11" t="str">
        <f aca="false">IF($K181="","",$K181-$H181)</f>
        <v/>
      </c>
      <c r="M181" s="12" t="str">
        <f aca="false">IF(OR($F181="",$F181=0),"",$L181/$F181)</f>
        <v/>
      </c>
      <c r="N181" s="14"/>
      <c r="O181" s="14"/>
      <c r="P181" s="14"/>
      <c r="Q181" s="14"/>
    </row>
    <row r="182" customFormat="false" ht="15" hidden="false" customHeight="false" outlineLevel="0" collapsed="false">
      <c r="A182" s="16"/>
      <c r="B182" s="14"/>
      <c r="C182" s="14" t="str">
        <f aca="false">IFERROR(IF($B182="","",INDEX(Inventory!$B$3:$B$253,MATCH($B182,Inventory!$A$3:$A$253,0))),"")</f>
        <v/>
      </c>
      <c r="D182" s="15"/>
      <c r="E182" s="11"/>
      <c r="F182" s="11" t="str">
        <f aca="false">IF($D182="","",$D182*$E182)</f>
        <v/>
      </c>
      <c r="G182" s="11" t="str">
        <f aca="false">IFERROR(IF($B182="","",INDEX(Inventory!$G$3:$G$253,MATCH($B182,Inventory!$A$3:$A$253,0))),"")</f>
        <v/>
      </c>
      <c r="H182" s="11" t="str">
        <f aca="false">IF($D182="","",$D182*IFERROR($G182+0,0))</f>
        <v/>
      </c>
      <c r="I182" s="11"/>
      <c r="J182" s="11"/>
      <c r="K182" s="11" t="str">
        <f aca="false">IF($F182="","",$F182-$I182-$J182)</f>
        <v/>
      </c>
      <c r="L182" s="11" t="str">
        <f aca="false">IF($K182="","",$K182-$H182)</f>
        <v/>
      </c>
      <c r="M182" s="12" t="str">
        <f aca="false">IF(OR($F182="",$F182=0),"",$L182/$F182)</f>
        <v/>
      </c>
      <c r="N182" s="14"/>
      <c r="O182" s="14"/>
      <c r="P182" s="14"/>
      <c r="Q182" s="14"/>
    </row>
    <row r="183" customFormat="false" ht="15" hidden="false" customHeight="false" outlineLevel="0" collapsed="false">
      <c r="A183" s="16"/>
      <c r="B183" s="14"/>
      <c r="C183" s="14" t="str">
        <f aca="false">IFERROR(IF($B183="","",INDEX(Inventory!$B$3:$B$253,MATCH($B183,Inventory!$A$3:$A$253,0))),"")</f>
        <v/>
      </c>
      <c r="D183" s="15"/>
      <c r="E183" s="11"/>
      <c r="F183" s="11" t="str">
        <f aca="false">IF($D183="","",$D183*$E183)</f>
        <v/>
      </c>
      <c r="G183" s="11" t="str">
        <f aca="false">IFERROR(IF($B183="","",INDEX(Inventory!$G$3:$G$253,MATCH($B183,Inventory!$A$3:$A$253,0))),"")</f>
        <v/>
      </c>
      <c r="H183" s="11" t="str">
        <f aca="false">IF($D183="","",$D183*IFERROR($G183+0,0))</f>
        <v/>
      </c>
      <c r="I183" s="11"/>
      <c r="J183" s="11"/>
      <c r="K183" s="11" t="str">
        <f aca="false">IF($F183="","",$F183-$I183-$J183)</f>
        <v/>
      </c>
      <c r="L183" s="11" t="str">
        <f aca="false">IF($K183="","",$K183-$H183)</f>
        <v/>
      </c>
      <c r="M183" s="12" t="str">
        <f aca="false">IF(OR($F183="",$F183=0),"",$L183/$F183)</f>
        <v/>
      </c>
      <c r="N183" s="14"/>
      <c r="O183" s="14"/>
      <c r="P183" s="14"/>
      <c r="Q183" s="14"/>
    </row>
    <row r="184" customFormat="false" ht="15" hidden="false" customHeight="false" outlineLevel="0" collapsed="false">
      <c r="A184" s="16"/>
      <c r="B184" s="14"/>
      <c r="C184" s="14" t="str">
        <f aca="false">IFERROR(IF($B184="","",INDEX(Inventory!$B$3:$B$253,MATCH($B184,Inventory!$A$3:$A$253,0))),"")</f>
        <v/>
      </c>
      <c r="D184" s="15"/>
      <c r="E184" s="11"/>
      <c r="F184" s="11" t="str">
        <f aca="false">IF($D184="","",$D184*$E184)</f>
        <v/>
      </c>
      <c r="G184" s="11" t="str">
        <f aca="false">IFERROR(IF($B184="","",INDEX(Inventory!$G$3:$G$253,MATCH($B184,Inventory!$A$3:$A$253,0))),"")</f>
        <v/>
      </c>
      <c r="H184" s="11" t="str">
        <f aca="false">IF($D184="","",$D184*IFERROR($G184+0,0))</f>
        <v/>
      </c>
      <c r="I184" s="11"/>
      <c r="J184" s="11"/>
      <c r="K184" s="11" t="str">
        <f aca="false">IF($F184="","",$F184-$I184-$J184)</f>
        <v/>
      </c>
      <c r="L184" s="11" t="str">
        <f aca="false">IF($K184="","",$K184-$H184)</f>
        <v/>
      </c>
      <c r="M184" s="12" t="str">
        <f aca="false">IF(OR($F184="",$F184=0),"",$L184/$F184)</f>
        <v/>
      </c>
      <c r="N184" s="14"/>
      <c r="O184" s="14"/>
      <c r="P184" s="14"/>
      <c r="Q184" s="14"/>
    </row>
    <row r="185" customFormat="false" ht="15" hidden="false" customHeight="false" outlineLevel="0" collapsed="false">
      <c r="A185" s="16"/>
      <c r="B185" s="14"/>
      <c r="C185" s="14" t="str">
        <f aca="false">IFERROR(IF($B185="","",INDEX(Inventory!$B$3:$B$253,MATCH($B185,Inventory!$A$3:$A$253,0))),"")</f>
        <v/>
      </c>
      <c r="D185" s="15"/>
      <c r="E185" s="11"/>
      <c r="F185" s="11" t="str">
        <f aca="false">IF($D185="","",$D185*$E185)</f>
        <v/>
      </c>
      <c r="G185" s="11" t="str">
        <f aca="false">IFERROR(IF($B185="","",INDEX(Inventory!$G$3:$G$253,MATCH($B185,Inventory!$A$3:$A$253,0))),"")</f>
        <v/>
      </c>
      <c r="H185" s="11" t="str">
        <f aca="false">IF($D185="","",$D185*IFERROR($G185+0,0))</f>
        <v/>
      </c>
      <c r="I185" s="11"/>
      <c r="J185" s="11"/>
      <c r="K185" s="11" t="str">
        <f aca="false">IF($F185="","",$F185-$I185-$J185)</f>
        <v/>
      </c>
      <c r="L185" s="11" t="str">
        <f aca="false">IF($K185="","",$K185-$H185)</f>
        <v/>
      </c>
      <c r="M185" s="12" t="str">
        <f aca="false">IF(OR($F185="",$F185=0),"",$L185/$F185)</f>
        <v/>
      </c>
      <c r="N185" s="14"/>
      <c r="O185" s="14"/>
      <c r="P185" s="14"/>
      <c r="Q185" s="14"/>
    </row>
    <row r="186" customFormat="false" ht="15" hidden="false" customHeight="false" outlineLevel="0" collapsed="false">
      <c r="A186" s="16"/>
      <c r="B186" s="14"/>
      <c r="C186" s="14" t="str">
        <f aca="false">IFERROR(IF($B186="","",INDEX(Inventory!$B$3:$B$253,MATCH($B186,Inventory!$A$3:$A$253,0))),"")</f>
        <v/>
      </c>
      <c r="D186" s="15"/>
      <c r="E186" s="11"/>
      <c r="F186" s="11" t="str">
        <f aca="false">IF($D186="","",$D186*$E186)</f>
        <v/>
      </c>
      <c r="G186" s="11" t="str">
        <f aca="false">IFERROR(IF($B186="","",INDEX(Inventory!$G$3:$G$253,MATCH($B186,Inventory!$A$3:$A$253,0))),"")</f>
        <v/>
      </c>
      <c r="H186" s="11" t="str">
        <f aca="false">IF($D186="","",$D186*IFERROR($G186+0,0))</f>
        <v/>
      </c>
      <c r="I186" s="11"/>
      <c r="J186" s="11"/>
      <c r="K186" s="11" t="str">
        <f aca="false">IF($F186="","",$F186-$I186-$J186)</f>
        <v/>
      </c>
      <c r="L186" s="11" t="str">
        <f aca="false">IF($K186="","",$K186-$H186)</f>
        <v/>
      </c>
      <c r="M186" s="12" t="str">
        <f aca="false">IF(OR($F186="",$F186=0),"",$L186/$F186)</f>
        <v/>
      </c>
      <c r="N186" s="14"/>
      <c r="O186" s="14"/>
      <c r="P186" s="14"/>
      <c r="Q186" s="14"/>
    </row>
    <row r="187" customFormat="false" ht="15" hidden="false" customHeight="false" outlineLevel="0" collapsed="false">
      <c r="A187" s="16"/>
      <c r="B187" s="14"/>
      <c r="C187" s="14" t="str">
        <f aca="false">IFERROR(IF($B187="","",INDEX(Inventory!$B$3:$B$253,MATCH($B187,Inventory!$A$3:$A$253,0))),"")</f>
        <v/>
      </c>
      <c r="D187" s="15"/>
      <c r="E187" s="11"/>
      <c r="F187" s="11" t="str">
        <f aca="false">IF($D187="","",$D187*$E187)</f>
        <v/>
      </c>
      <c r="G187" s="11" t="str">
        <f aca="false">IFERROR(IF($B187="","",INDEX(Inventory!$G$3:$G$253,MATCH($B187,Inventory!$A$3:$A$253,0))),"")</f>
        <v/>
      </c>
      <c r="H187" s="11" t="str">
        <f aca="false">IF($D187="","",$D187*IFERROR($G187+0,0))</f>
        <v/>
      </c>
      <c r="I187" s="11"/>
      <c r="J187" s="11"/>
      <c r="K187" s="11" t="str">
        <f aca="false">IF($F187="","",$F187-$I187-$J187)</f>
        <v/>
      </c>
      <c r="L187" s="11" t="str">
        <f aca="false">IF($K187="","",$K187-$H187)</f>
        <v/>
      </c>
      <c r="M187" s="12" t="str">
        <f aca="false">IF(OR($F187="",$F187=0),"",$L187/$F187)</f>
        <v/>
      </c>
      <c r="N187" s="14"/>
      <c r="O187" s="14"/>
      <c r="P187" s="14"/>
      <c r="Q187" s="14"/>
    </row>
    <row r="188" customFormat="false" ht="15" hidden="false" customHeight="false" outlineLevel="0" collapsed="false">
      <c r="A188" s="16"/>
      <c r="B188" s="14"/>
      <c r="C188" s="14" t="str">
        <f aca="false">IFERROR(IF($B188="","",INDEX(Inventory!$B$3:$B$253,MATCH($B188,Inventory!$A$3:$A$253,0))),"")</f>
        <v/>
      </c>
      <c r="D188" s="15"/>
      <c r="E188" s="11"/>
      <c r="F188" s="11" t="str">
        <f aca="false">IF($D188="","",$D188*$E188)</f>
        <v/>
      </c>
      <c r="G188" s="11" t="str">
        <f aca="false">IFERROR(IF($B188="","",INDEX(Inventory!$G$3:$G$253,MATCH($B188,Inventory!$A$3:$A$253,0))),"")</f>
        <v/>
      </c>
      <c r="H188" s="11" t="str">
        <f aca="false">IF($D188="","",$D188*IFERROR($G188+0,0))</f>
        <v/>
      </c>
      <c r="I188" s="11"/>
      <c r="J188" s="11"/>
      <c r="K188" s="11" t="str">
        <f aca="false">IF($F188="","",$F188-$I188-$J188)</f>
        <v/>
      </c>
      <c r="L188" s="11" t="str">
        <f aca="false">IF($K188="","",$K188-$H188)</f>
        <v/>
      </c>
      <c r="M188" s="12" t="str">
        <f aca="false">IF(OR($F188="",$F188=0),"",$L188/$F188)</f>
        <v/>
      </c>
      <c r="N188" s="14"/>
      <c r="O188" s="14"/>
      <c r="P188" s="14"/>
      <c r="Q188" s="14"/>
    </row>
    <row r="189" customFormat="false" ht="15" hidden="false" customHeight="false" outlineLevel="0" collapsed="false">
      <c r="A189" s="16"/>
      <c r="B189" s="14"/>
      <c r="C189" s="14" t="str">
        <f aca="false">IFERROR(IF($B189="","",INDEX(Inventory!$B$3:$B$253,MATCH($B189,Inventory!$A$3:$A$253,0))),"")</f>
        <v/>
      </c>
      <c r="D189" s="15"/>
      <c r="E189" s="11"/>
      <c r="F189" s="11" t="str">
        <f aca="false">IF($D189="","",$D189*$E189)</f>
        <v/>
      </c>
      <c r="G189" s="11" t="str">
        <f aca="false">IFERROR(IF($B189="","",INDEX(Inventory!$G$3:$G$253,MATCH($B189,Inventory!$A$3:$A$253,0))),"")</f>
        <v/>
      </c>
      <c r="H189" s="11" t="str">
        <f aca="false">IF($D189="","",$D189*IFERROR($G189+0,0))</f>
        <v/>
      </c>
      <c r="I189" s="11"/>
      <c r="J189" s="11"/>
      <c r="K189" s="11" t="str">
        <f aca="false">IF($F189="","",$F189-$I189-$J189)</f>
        <v/>
      </c>
      <c r="L189" s="11" t="str">
        <f aca="false">IF($K189="","",$K189-$H189)</f>
        <v/>
      </c>
      <c r="M189" s="12" t="str">
        <f aca="false">IF(OR($F189="",$F189=0),"",$L189/$F189)</f>
        <v/>
      </c>
      <c r="N189" s="14"/>
      <c r="O189" s="14"/>
      <c r="P189" s="14"/>
      <c r="Q189" s="14"/>
    </row>
    <row r="190" customFormat="false" ht="15" hidden="false" customHeight="false" outlineLevel="0" collapsed="false">
      <c r="A190" s="16"/>
      <c r="B190" s="14"/>
      <c r="C190" s="14" t="str">
        <f aca="false">IFERROR(IF($B190="","",INDEX(Inventory!$B$3:$B$253,MATCH($B190,Inventory!$A$3:$A$253,0))),"")</f>
        <v/>
      </c>
      <c r="D190" s="15"/>
      <c r="E190" s="11"/>
      <c r="F190" s="11" t="str">
        <f aca="false">IF($D190="","",$D190*$E190)</f>
        <v/>
      </c>
      <c r="G190" s="11" t="str">
        <f aca="false">IFERROR(IF($B190="","",INDEX(Inventory!$G$3:$G$253,MATCH($B190,Inventory!$A$3:$A$253,0))),"")</f>
        <v/>
      </c>
      <c r="H190" s="11" t="str">
        <f aca="false">IF($D190="","",$D190*IFERROR($G190+0,0))</f>
        <v/>
      </c>
      <c r="I190" s="11"/>
      <c r="J190" s="11"/>
      <c r="K190" s="11" t="str">
        <f aca="false">IF($F190="","",$F190-$I190-$J190)</f>
        <v/>
      </c>
      <c r="L190" s="11" t="str">
        <f aca="false">IF($K190="","",$K190-$H190)</f>
        <v/>
      </c>
      <c r="M190" s="12" t="str">
        <f aca="false">IF(OR($F190="",$F190=0),"",$L190/$F190)</f>
        <v/>
      </c>
      <c r="N190" s="14"/>
      <c r="O190" s="14"/>
      <c r="P190" s="14"/>
      <c r="Q190" s="14"/>
    </row>
    <row r="191" customFormat="false" ht="15" hidden="false" customHeight="false" outlineLevel="0" collapsed="false">
      <c r="A191" s="16"/>
      <c r="B191" s="14"/>
      <c r="C191" s="14" t="str">
        <f aca="false">IFERROR(IF($B191="","",INDEX(Inventory!$B$3:$B$253,MATCH($B191,Inventory!$A$3:$A$253,0))),"")</f>
        <v/>
      </c>
      <c r="D191" s="15"/>
      <c r="E191" s="11"/>
      <c r="F191" s="11" t="str">
        <f aca="false">IF($D191="","",$D191*$E191)</f>
        <v/>
      </c>
      <c r="G191" s="11" t="str">
        <f aca="false">IFERROR(IF($B191="","",INDEX(Inventory!$G$3:$G$253,MATCH($B191,Inventory!$A$3:$A$253,0))),"")</f>
        <v/>
      </c>
      <c r="H191" s="11" t="str">
        <f aca="false">IF($D191="","",$D191*IFERROR($G191+0,0))</f>
        <v/>
      </c>
      <c r="I191" s="11"/>
      <c r="J191" s="11"/>
      <c r="K191" s="11" t="str">
        <f aca="false">IF($F191="","",$F191-$I191-$J191)</f>
        <v/>
      </c>
      <c r="L191" s="11" t="str">
        <f aca="false">IF($K191="","",$K191-$H191)</f>
        <v/>
      </c>
      <c r="M191" s="12" t="str">
        <f aca="false">IF(OR($F191="",$F191=0),"",$L191/$F191)</f>
        <v/>
      </c>
      <c r="N191" s="14"/>
      <c r="O191" s="14"/>
      <c r="P191" s="14"/>
      <c r="Q191" s="14"/>
    </row>
    <row r="192" customFormat="false" ht="15" hidden="false" customHeight="false" outlineLevel="0" collapsed="false">
      <c r="A192" s="16"/>
      <c r="B192" s="14"/>
      <c r="C192" s="14" t="str">
        <f aca="false">IFERROR(IF($B192="","",INDEX(Inventory!$B$3:$B$253,MATCH($B192,Inventory!$A$3:$A$253,0))),"")</f>
        <v/>
      </c>
      <c r="D192" s="15"/>
      <c r="E192" s="11"/>
      <c r="F192" s="11" t="str">
        <f aca="false">IF($D192="","",$D192*$E192)</f>
        <v/>
      </c>
      <c r="G192" s="11" t="str">
        <f aca="false">IFERROR(IF($B192="","",INDEX(Inventory!$G$3:$G$253,MATCH($B192,Inventory!$A$3:$A$253,0))),"")</f>
        <v/>
      </c>
      <c r="H192" s="11" t="str">
        <f aca="false">IF($D192="","",$D192*IFERROR($G192+0,0))</f>
        <v/>
      </c>
      <c r="I192" s="11"/>
      <c r="J192" s="11"/>
      <c r="K192" s="11" t="str">
        <f aca="false">IF($F192="","",$F192-$I192-$J192)</f>
        <v/>
      </c>
      <c r="L192" s="11" t="str">
        <f aca="false">IF($K192="","",$K192-$H192)</f>
        <v/>
      </c>
      <c r="M192" s="12" t="str">
        <f aca="false">IF(OR($F192="",$F192=0),"",$L192/$F192)</f>
        <v/>
      </c>
      <c r="N192" s="14"/>
      <c r="O192" s="14"/>
      <c r="P192" s="14"/>
      <c r="Q192" s="14"/>
    </row>
    <row r="193" customFormat="false" ht="15" hidden="false" customHeight="false" outlineLevel="0" collapsed="false">
      <c r="A193" s="16"/>
      <c r="B193" s="14"/>
      <c r="C193" s="14" t="str">
        <f aca="false">IFERROR(IF($B193="","",INDEX(Inventory!$B$3:$B$253,MATCH($B193,Inventory!$A$3:$A$253,0))),"")</f>
        <v/>
      </c>
      <c r="D193" s="15"/>
      <c r="E193" s="11"/>
      <c r="F193" s="11" t="str">
        <f aca="false">IF($D193="","",$D193*$E193)</f>
        <v/>
      </c>
      <c r="G193" s="11" t="str">
        <f aca="false">IFERROR(IF($B193="","",INDEX(Inventory!$G$3:$G$253,MATCH($B193,Inventory!$A$3:$A$253,0))),"")</f>
        <v/>
      </c>
      <c r="H193" s="11" t="str">
        <f aca="false">IF($D193="","",$D193*IFERROR($G193+0,0))</f>
        <v/>
      </c>
      <c r="I193" s="11"/>
      <c r="J193" s="11"/>
      <c r="K193" s="11" t="str">
        <f aca="false">IF($F193="","",$F193-$I193-$J193)</f>
        <v/>
      </c>
      <c r="L193" s="11" t="str">
        <f aca="false">IF($K193="","",$K193-$H193)</f>
        <v/>
      </c>
      <c r="M193" s="12" t="str">
        <f aca="false">IF(OR($F193="",$F193=0),"",$L193/$F193)</f>
        <v/>
      </c>
      <c r="N193" s="14"/>
      <c r="O193" s="14"/>
      <c r="P193" s="14"/>
      <c r="Q193" s="14"/>
    </row>
    <row r="194" customFormat="false" ht="15" hidden="false" customHeight="false" outlineLevel="0" collapsed="false">
      <c r="A194" s="16"/>
      <c r="B194" s="14"/>
      <c r="C194" s="14" t="str">
        <f aca="false">IFERROR(IF($B194="","",INDEX(Inventory!$B$3:$B$253,MATCH($B194,Inventory!$A$3:$A$253,0))),"")</f>
        <v/>
      </c>
      <c r="D194" s="15"/>
      <c r="E194" s="11"/>
      <c r="F194" s="11" t="str">
        <f aca="false">IF($D194="","",$D194*$E194)</f>
        <v/>
      </c>
      <c r="G194" s="11" t="str">
        <f aca="false">IFERROR(IF($B194="","",INDEX(Inventory!$G$3:$G$253,MATCH($B194,Inventory!$A$3:$A$253,0))),"")</f>
        <v/>
      </c>
      <c r="H194" s="11" t="str">
        <f aca="false">IF($D194="","",$D194*IFERROR($G194+0,0))</f>
        <v/>
      </c>
      <c r="I194" s="11"/>
      <c r="J194" s="11"/>
      <c r="K194" s="11" t="str">
        <f aca="false">IF($F194="","",$F194-$I194-$J194)</f>
        <v/>
      </c>
      <c r="L194" s="11" t="str">
        <f aca="false">IF($K194="","",$K194-$H194)</f>
        <v/>
      </c>
      <c r="M194" s="12" t="str">
        <f aca="false">IF(OR($F194="",$F194=0),"",$L194/$F194)</f>
        <v/>
      </c>
      <c r="N194" s="14"/>
      <c r="O194" s="14"/>
      <c r="P194" s="14"/>
      <c r="Q194" s="14"/>
    </row>
    <row r="195" customFormat="false" ht="15" hidden="false" customHeight="false" outlineLevel="0" collapsed="false">
      <c r="A195" s="16"/>
      <c r="B195" s="14"/>
      <c r="C195" s="14" t="str">
        <f aca="false">IFERROR(IF($B195="","",INDEX(Inventory!$B$3:$B$253,MATCH($B195,Inventory!$A$3:$A$253,0))),"")</f>
        <v/>
      </c>
      <c r="D195" s="15"/>
      <c r="E195" s="11"/>
      <c r="F195" s="11" t="str">
        <f aca="false">IF($D195="","",$D195*$E195)</f>
        <v/>
      </c>
      <c r="G195" s="11" t="str">
        <f aca="false">IFERROR(IF($B195="","",INDEX(Inventory!$G$3:$G$253,MATCH($B195,Inventory!$A$3:$A$253,0))),"")</f>
        <v/>
      </c>
      <c r="H195" s="11" t="str">
        <f aca="false">IF($D195="","",$D195*IFERROR($G195+0,0))</f>
        <v/>
      </c>
      <c r="I195" s="11"/>
      <c r="J195" s="11"/>
      <c r="K195" s="11" t="str">
        <f aca="false">IF($F195="","",$F195-$I195-$J195)</f>
        <v/>
      </c>
      <c r="L195" s="11" t="str">
        <f aca="false">IF($K195="","",$K195-$H195)</f>
        <v/>
      </c>
      <c r="M195" s="12" t="str">
        <f aca="false">IF(OR($F195="",$F195=0),"",$L195/$F195)</f>
        <v/>
      </c>
      <c r="N195" s="14"/>
      <c r="O195" s="14"/>
      <c r="P195" s="14"/>
      <c r="Q195" s="14"/>
    </row>
    <row r="196" customFormat="false" ht="15" hidden="false" customHeight="false" outlineLevel="0" collapsed="false">
      <c r="A196" s="16"/>
      <c r="B196" s="14"/>
      <c r="C196" s="14" t="str">
        <f aca="false">IFERROR(IF($B196="","",INDEX(Inventory!$B$3:$B$253,MATCH($B196,Inventory!$A$3:$A$253,0))),"")</f>
        <v/>
      </c>
      <c r="D196" s="15"/>
      <c r="E196" s="11"/>
      <c r="F196" s="11" t="str">
        <f aca="false">IF($D196="","",$D196*$E196)</f>
        <v/>
      </c>
      <c r="G196" s="11" t="str">
        <f aca="false">IFERROR(IF($B196="","",INDEX(Inventory!$G$3:$G$253,MATCH($B196,Inventory!$A$3:$A$253,0))),"")</f>
        <v/>
      </c>
      <c r="H196" s="11" t="str">
        <f aca="false">IF($D196="","",$D196*IFERROR($G196+0,0))</f>
        <v/>
      </c>
      <c r="I196" s="11"/>
      <c r="J196" s="11"/>
      <c r="K196" s="11" t="str">
        <f aca="false">IF($F196="","",$F196-$I196-$J196)</f>
        <v/>
      </c>
      <c r="L196" s="11" t="str">
        <f aca="false">IF($K196="","",$K196-$H196)</f>
        <v/>
      </c>
      <c r="M196" s="12" t="str">
        <f aca="false">IF(OR($F196="",$F196=0),"",$L196/$F196)</f>
        <v/>
      </c>
      <c r="N196" s="14"/>
      <c r="O196" s="14"/>
      <c r="P196" s="14"/>
      <c r="Q196" s="14"/>
    </row>
    <row r="197" customFormat="false" ht="15" hidden="false" customHeight="false" outlineLevel="0" collapsed="false">
      <c r="A197" s="16"/>
      <c r="B197" s="14"/>
      <c r="C197" s="14" t="str">
        <f aca="false">IFERROR(IF($B197="","",INDEX(Inventory!$B$3:$B$253,MATCH($B197,Inventory!$A$3:$A$253,0))),"")</f>
        <v/>
      </c>
      <c r="D197" s="15"/>
      <c r="E197" s="11"/>
      <c r="F197" s="11" t="str">
        <f aca="false">IF($D197="","",$D197*$E197)</f>
        <v/>
      </c>
      <c r="G197" s="11" t="str">
        <f aca="false">IFERROR(IF($B197="","",INDEX(Inventory!$G$3:$G$253,MATCH($B197,Inventory!$A$3:$A$253,0))),"")</f>
        <v/>
      </c>
      <c r="H197" s="11" t="str">
        <f aca="false">IF($D197="","",$D197*IFERROR($G197+0,0))</f>
        <v/>
      </c>
      <c r="I197" s="11"/>
      <c r="J197" s="11"/>
      <c r="K197" s="11" t="str">
        <f aca="false">IF($F197="","",$F197-$I197-$J197)</f>
        <v/>
      </c>
      <c r="L197" s="11" t="str">
        <f aca="false">IF($K197="","",$K197-$H197)</f>
        <v/>
      </c>
      <c r="M197" s="12" t="str">
        <f aca="false">IF(OR($F197="",$F197=0),"",$L197/$F197)</f>
        <v/>
      </c>
      <c r="N197" s="14"/>
      <c r="O197" s="14"/>
      <c r="P197" s="14"/>
      <c r="Q197" s="14"/>
    </row>
    <row r="198" customFormat="false" ht="15" hidden="false" customHeight="false" outlineLevel="0" collapsed="false">
      <c r="A198" s="16"/>
      <c r="B198" s="14"/>
      <c r="C198" s="14" t="str">
        <f aca="false">IFERROR(IF($B198="","",INDEX(Inventory!$B$3:$B$253,MATCH($B198,Inventory!$A$3:$A$253,0))),"")</f>
        <v/>
      </c>
      <c r="D198" s="15"/>
      <c r="E198" s="11"/>
      <c r="F198" s="11" t="str">
        <f aca="false">IF($D198="","",$D198*$E198)</f>
        <v/>
      </c>
      <c r="G198" s="11" t="str">
        <f aca="false">IFERROR(IF($B198="","",INDEX(Inventory!$G$3:$G$253,MATCH($B198,Inventory!$A$3:$A$253,0))),"")</f>
        <v/>
      </c>
      <c r="H198" s="11" t="str">
        <f aca="false">IF($D198="","",$D198*IFERROR($G198+0,0))</f>
        <v/>
      </c>
      <c r="I198" s="11"/>
      <c r="J198" s="11"/>
      <c r="K198" s="11" t="str">
        <f aca="false">IF($F198="","",$F198-$I198-$J198)</f>
        <v/>
      </c>
      <c r="L198" s="11" t="str">
        <f aca="false">IF($K198="","",$K198-$H198)</f>
        <v/>
      </c>
      <c r="M198" s="12" t="str">
        <f aca="false">IF(OR($F198="",$F198=0),"",$L198/$F198)</f>
        <v/>
      </c>
      <c r="N198" s="14"/>
      <c r="O198" s="14"/>
      <c r="P198" s="14"/>
      <c r="Q198" s="14"/>
    </row>
    <row r="199" customFormat="false" ht="15" hidden="false" customHeight="false" outlineLevel="0" collapsed="false">
      <c r="A199" s="16"/>
      <c r="B199" s="14"/>
      <c r="C199" s="14" t="str">
        <f aca="false">IFERROR(IF($B199="","",INDEX(Inventory!$B$3:$B$253,MATCH($B199,Inventory!$A$3:$A$253,0))),"")</f>
        <v/>
      </c>
      <c r="D199" s="15"/>
      <c r="E199" s="11"/>
      <c r="F199" s="11" t="str">
        <f aca="false">IF($D199="","",$D199*$E199)</f>
        <v/>
      </c>
      <c r="G199" s="11" t="str">
        <f aca="false">IFERROR(IF($B199="","",INDEX(Inventory!$G$3:$G$253,MATCH($B199,Inventory!$A$3:$A$253,0))),"")</f>
        <v/>
      </c>
      <c r="H199" s="11" t="str">
        <f aca="false">IF($D199="","",$D199*IFERROR($G199+0,0))</f>
        <v/>
      </c>
      <c r="I199" s="11"/>
      <c r="J199" s="11"/>
      <c r="K199" s="11" t="str">
        <f aca="false">IF($F199="","",$F199-$I199-$J199)</f>
        <v/>
      </c>
      <c r="L199" s="11" t="str">
        <f aca="false">IF($K199="","",$K199-$H199)</f>
        <v/>
      </c>
      <c r="M199" s="12" t="str">
        <f aca="false">IF(OR($F199="",$F199=0),"",$L199/$F199)</f>
        <v/>
      </c>
      <c r="N199" s="14"/>
      <c r="O199" s="14"/>
      <c r="P199" s="14"/>
      <c r="Q199" s="14"/>
    </row>
    <row r="200" customFormat="false" ht="15" hidden="false" customHeight="false" outlineLevel="0" collapsed="false">
      <c r="A200" s="16"/>
      <c r="B200" s="14"/>
      <c r="C200" s="14" t="str">
        <f aca="false">IFERROR(IF($B200="","",INDEX(Inventory!$B$3:$B$253,MATCH($B200,Inventory!$A$3:$A$253,0))),"")</f>
        <v/>
      </c>
      <c r="D200" s="15"/>
      <c r="E200" s="11"/>
      <c r="F200" s="11" t="str">
        <f aca="false">IF($D200="","",$D200*$E200)</f>
        <v/>
      </c>
      <c r="G200" s="11" t="str">
        <f aca="false">IFERROR(IF($B200="","",INDEX(Inventory!$G$3:$G$253,MATCH($B200,Inventory!$A$3:$A$253,0))),"")</f>
        <v/>
      </c>
      <c r="H200" s="11" t="str">
        <f aca="false">IF($D200="","",$D200*IFERROR($G200+0,0))</f>
        <v/>
      </c>
      <c r="I200" s="11"/>
      <c r="J200" s="11"/>
      <c r="K200" s="11" t="str">
        <f aca="false">IF($F200="","",$F200-$I200-$J200)</f>
        <v/>
      </c>
      <c r="L200" s="11" t="str">
        <f aca="false">IF($K200="","",$K200-$H200)</f>
        <v/>
      </c>
      <c r="M200" s="12" t="str">
        <f aca="false">IF(OR($F200="",$F200=0),"",$L200/$F200)</f>
        <v/>
      </c>
      <c r="N200" s="14"/>
      <c r="O200" s="14"/>
      <c r="P200" s="14"/>
      <c r="Q200" s="14"/>
    </row>
    <row r="201" customFormat="false" ht="15" hidden="false" customHeight="false" outlineLevel="0" collapsed="false">
      <c r="A201" s="16"/>
      <c r="B201" s="14"/>
      <c r="C201" s="14" t="str">
        <f aca="false">IFERROR(IF($B201="","",INDEX(Inventory!$B$3:$B$253,MATCH($B201,Inventory!$A$3:$A$253,0))),"")</f>
        <v/>
      </c>
      <c r="D201" s="15"/>
      <c r="E201" s="11"/>
      <c r="F201" s="11" t="str">
        <f aca="false">IF($D201="","",$D201*$E201)</f>
        <v/>
      </c>
      <c r="G201" s="11" t="str">
        <f aca="false">IFERROR(IF($B201="","",INDEX(Inventory!$G$3:$G$253,MATCH($B201,Inventory!$A$3:$A$253,0))),"")</f>
        <v/>
      </c>
      <c r="H201" s="11" t="str">
        <f aca="false">IF($D201="","",$D201*IFERROR($G201+0,0))</f>
        <v/>
      </c>
      <c r="I201" s="11"/>
      <c r="J201" s="11"/>
      <c r="K201" s="11" t="str">
        <f aca="false">IF($F201="","",$F201-$I201-$J201)</f>
        <v/>
      </c>
      <c r="L201" s="11" t="str">
        <f aca="false">IF($K201="","",$K201-$H201)</f>
        <v/>
      </c>
      <c r="M201" s="12" t="str">
        <f aca="false">IF(OR($F201="",$F201=0),"",$L201/$F201)</f>
        <v/>
      </c>
      <c r="N201" s="14"/>
      <c r="O201" s="14"/>
      <c r="P201" s="14"/>
      <c r="Q201" s="14"/>
    </row>
    <row r="202" customFormat="false" ht="15" hidden="false" customHeight="false" outlineLevel="0" collapsed="false">
      <c r="A202" s="16"/>
      <c r="B202" s="14"/>
      <c r="C202" s="14" t="str">
        <f aca="false">IFERROR(IF($B202="","",INDEX(Inventory!$B$3:$B$253,MATCH($B202,Inventory!$A$3:$A$253,0))),"")</f>
        <v/>
      </c>
      <c r="D202" s="15"/>
      <c r="E202" s="11"/>
      <c r="F202" s="11" t="str">
        <f aca="false">IF($D202="","",$D202*$E202)</f>
        <v/>
      </c>
      <c r="G202" s="11" t="str">
        <f aca="false">IFERROR(IF($B202="","",INDEX(Inventory!$G$3:$G$253,MATCH($B202,Inventory!$A$3:$A$253,0))),"")</f>
        <v/>
      </c>
      <c r="H202" s="11" t="str">
        <f aca="false">IF($D202="","",$D202*IFERROR($G202+0,0))</f>
        <v/>
      </c>
      <c r="I202" s="11"/>
      <c r="J202" s="11"/>
      <c r="K202" s="11" t="str">
        <f aca="false">IF($F202="","",$F202-$I202-$J202)</f>
        <v/>
      </c>
      <c r="L202" s="11" t="str">
        <f aca="false">IF($K202="","",$K202-$H202)</f>
        <v/>
      </c>
      <c r="M202" s="12" t="str">
        <f aca="false">IF(OR($F202="",$F202=0),"",$L202/$F202)</f>
        <v/>
      </c>
      <c r="N202" s="14"/>
      <c r="O202" s="14"/>
      <c r="P202" s="14"/>
      <c r="Q202" s="14"/>
    </row>
    <row r="203" customFormat="false" ht="15" hidden="false" customHeight="false" outlineLevel="0" collapsed="false">
      <c r="A203" s="16"/>
      <c r="B203" s="14"/>
      <c r="C203" s="14" t="str">
        <f aca="false">IFERROR(IF($B203="","",INDEX(Inventory!$B$3:$B$253,MATCH($B203,Inventory!$A$3:$A$253,0))),"")</f>
        <v/>
      </c>
      <c r="D203" s="15"/>
      <c r="E203" s="11"/>
      <c r="F203" s="11" t="str">
        <f aca="false">IF($D203="","",$D203*$E203)</f>
        <v/>
      </c>
      <c r="G203" s="11" t="str">
        <f aca="false">IFERROR(IF($B203="","",INDEX(Inventory!$G$3:$G$253,MATCH($B203,Inventory!$A$3:$A$253,0))),"")</f>
        <v/>
      </c>
      <c r="H203" s="11" t="str">
        <f aca="false">IF($D203="","",$D203*IFERROR($G203+0,0))</f>
        <v/>
      </c>
      <c r="I203" s="11"/>
      <c r="J203" s="11"/>
      <c r="K203" s="11" t="str">
        <f aca="false">IF($F203="","",$F203-$I203-$J203)</f>
        <v/>
      </c>
      <c r="L203" s="11" t="str">
        <f aca="false">IF($K203="","",$K203-$H203)</f>
        <v/>
      </c>
      <c r="M203" s="12" t="str">
        <f aca="false">IF(OR($F203="",$F203=0),"",$L203/$F203)</f>
        <v/>
      </c>
      <c r="N203" s="14"/>
      <c r="O203" s="14"/>
      <c r="P203" s="14"/>
      <c r="Q203" s="14"/>
    </row>
    <row r="204" customFormat="false" ht="15" hidden="false" customHeight="false" outlineLevel="0" collapsed="false">
      <c r="A204" s="16"/>
      <c r="B204" s="14"/>
      <c r="C204" s="14" t="str">
        <f aca="false">IFERROR(IF($B204="","",INDEX(Inventory!$B$3:$B$253,MATCH($B204,Inventory!$A$3:$A$253,0))),"")</f>
        <v/>
      </c>
      <c r="D204" s="15"/>
      <c r="E204" s="11"/>
      <c r="F204" s="11" t="str">
        <f aca="false">IF($D204="","",$D204*$E204)</f>
        <v/>
      </c>
      <c r="G204" s="11" t="str">
        <f aca="false">IFERROR(IF($B204="","",INDEX(Inventory!$G$3:$G$253,MATCH($B204,Inventory!$A$3:$A$253,0))),"")</f>
        <v/>
      </c>
      <c r="H204" s="11" t="str">
        <f aca="false">IF($D204="","",$D204*IFERROR($G204+0,0))</f>
        <v/>
      </c>
      <c r="I204" s="11"/>
      <c r="J204" s="11"/>
      <c r="K204" s="11" t="str">
        <f aca="false">IF($F204="","",$F204-$I204-$J204)</f>
        <v/>
      </c>
      <c r="L204" s="11" t="str">
        <f aca="false">IF($K204="","",$K204-$H204)</f>
        <v/>
      </c>
      <c r="M204" s="12" t="str">
        <f aca="false">IF(OR($F204="",$F204=0),"",$L204/$F204)</f>
        <v/>
      </c>
      <c r="N204" s="14"/>
      <c r="O204" s="14"/>
      <c r="P204" s="14"/>
      <c r="Q204" s="14"/>
    </row>
    <row r="205" customFormat="false" ht="15" hidden="false" customHeight="false" outlineLevel="0" collapsed="false">
      <c r="A205" s="16"/>
      <c r="B205" s="14"/>
      <c r="C205" s="14" t="str">
        <f aca="false">IFERROR(IF($B205="","",INDEX(Inventory!$B$3:$B$253,MATCH($B205,Inventory!$A$3:$A$253,0))),"")</f>
        <v/>
      </c>
      <c r="D205" s="15"/>
      <c r="E205" s="11"/>
      <c r="F205" s="11" t="str">
        <f aca="false">IF($D205="","",$D205*$E205)</f>
        <v/>
      </c>
      <c r="G205" s="11" t="str">
        <f aca="false">IFERROR(IF($B205="","",INDEX(Inventory!$G$3:$G$253,MATCH($B205,Inventory!$A$3:$A$253,0))),"")</f>
        <v/>
      </c>
      <c r="H205" s="11" t="str">
        <f aca="false">IF($D205="","",$D205*IFERROR($G205+0,0))</f>
        <v/>
      </c>
      <c r="I205" s="11"/>
      <c r="J205" s="11"/>
      <c r="K205" s="11" t="str">
        <f aca="false">IF($F205="","",$F205-$I205-$J205)</f>
        <v/>
      </c>
      <c r="L205" s="11" t="str">
        <f aca="false">IF($K205="","",$K205-$H205)</f>
        <v/>
      </c>
      <c r="M205" s="12" t="str">
        <f aca="false">IF(OR($F205="",$F205=0),"",$L205/$F205)</f>
        <v/>
      </c>
      <c r="N205" s="14"/>
      <c r="O205" s="14"/>
      <c r="P205" s="14"/>
      <c r="Q205" s="14"/>
    </row>
    <row r="206" customFormat="false" ht="15" hidden="false" customHeight="false" outlineLevel="0" collapsed="false">
      <c r="A206" s="16"/>
      <c r="B206" s="14"/>
      <c r="C206" s="14" t="str">
        <f aca="false">IFERROR(IF($B206="","",INDEX(Inventory!$B$3:$B$253,MATCH($B206,Inventory!$A$3:$A$253,0))),"")</f>
        <v/>
      </c>
      <c r="D206" s="15"/>
      <c r="E206" s="11"/>
      <c r="F206" s="11" t="str">
        <f aca="false">IF($D206="","",$D206*$E206)</f>
        <v/>
      </c>
      <c r="G206" s="11" t="str">
        <f aca="false">IFERROR(IF($B206="","",INDEX(Inventory!$G$3:$G$253,MATCH($B206,Inventory!$A$3:$A$253,0))),"")</f>
        <v/>
      </c>
      <c r="H206" s="11" t="str">
        <f aca="false">IF($D206="","",$D206*IFERROR($G206+0,0))</f>
        <v/>
      </c>
      <c r="I206" s="11"/>
      <c r="J206" s="11"/>
      <c r="K206" s="11" t="str">
        <f aca="false">IF($F206="","",$F206-$I206-$J206)</f>
        <v/>
      </c>
      <c r="L206" s="11" t="str">
        <f aca="false">IF($K206="","",$K206-$H206)</f>
        <v/>
      </c>
      <c r="M206" s="12" t="str">
        <f aca="false">IF(OR($F206="",$F206=0),"",$L206/$F206)</f>
        <v/>
      </c>
      <c r="N206" s="14"/>
      <c r="O206" s="14"/>
      <c r="P206" s="14"/>
      <c r="Q206" s="14"/>
    </row>
    <row r="207" customFormat="false" ht="15" hidden="false" customHeight="false" outlineLevel="0" collapsed="false">
      <c r="A207" s="16"/>
      <c r="B207" s="14"/>
      <c r="C207" s="14" t="str">
        <f aca="false">IFERROR(IF($B207="","",INDEX(Inventory!$B$3:$B$253,MATCH($B207,Inventory!$A$3:$A$253,0))),"")</f>
        <v/>
      </c>
      <c r="D207" s="15"/>
      <c r="E207" s="11"/>
      <c r="F207" s="11" t="str">
        <f aca="false">IF($D207="","",$D207*$E207)</f>
        <v/>
      </c>
      <c r="G207" s="11" t="str">
        <f aca="false">IFERROR(IF($B207="","",INDEX(Inventory!$G$3:$G$253,MATCH($B207,Inventory!$A$3:$A$253,0))),"")</f>
        <v/>
      </c>
      <c r="H207" s="11" t="str">
        <f aca="false">IF($D207="","",$D207*IFERROR($G207+0,0))</f>
        <v/>
      </c>
      <c r="I207" s="11"/>
      <c r="J207" s="11"/>
      <c r="K207" s="11" t="str">
        <f aca="false">IF($F207="","",$F207-$I207-$J207)</f>
        <v/>
      </c>
      <c r="L207" s="11" t="str">
        <f aca="false">IF($K207="","",$K207-$H207)</f>
        <v/>
      </c>
      <c r="M207" s="12" t="str">
        <f aca="false">IF(OR($F207="",$F207=0),"",$L207/$F207)</f>
        <v/>
      </c>
      <c r="N207" s="14"/>
      <c r="O207" s="14"/>
      <c r="P207" s="14"/>
      <c r="Q207" s="14"/>
    </row>
    <row r="208" customFormat="false" ht="15" hidden="false" customHeight="false" outlineLevel="0" collapsed="false">
      <c r="A208" s="16"/>
      <c r="B208" s="14"/>
      <c r="C208" s="14" t="str">
        <f aca="false">IFERROR(IF($B208="","",INDEX(Inventory!$B$3:$B$253,MATCH($B208,Inventory!$A$3:$A$253,0))),"")</f>
        <v/>
      </c>
      <c r="D208" s="15"/>
      <c r="E208" s="11"/>
      <c r="F208" s="11" t="str">
        <f aca="false">IF($D208="","",$D208*$E208)</f>
        <v/>
      </c>
      <c r="G208" s="11" t="str">
        <f aca="false">IFERROR(IF($B208="","",INDEX(Inventory!$G$3:$G$253,MATCH($B208,Inventory!$A$3:$A$253,0))),"")</f>
        <v/>
      </c>
      <c r="H208" s="11" t="str">
        <f aca="false">IF($D208="","",$D208*IFERROR($G208+0,0))</f>
        <v/>
      </c>
      <c r="I208" s="11"/>
      <c r="J208" s="11"/>
      <c r="K208" s="11" t="str">
        <f aca="false">IF($F208="","",$F208-$I208-$J208)</f>
        <v/>
      </c>
      <c r="L208" s="11" t="str">
        <f aca="false">IF($K208="","",$K208-$H208)</f>
        <v/>
      </c>
      <c r="M208" s="12" t="str">
        <f aca="false">IF(OR($F208="",$F208=0),"",$L208/$F208)</f>
        <v/>
      </c>
      <c r="N208" s="14"/>
      <c r="O208" s="14"/>
      <c r="P208" s="14"/>
      <c r="Q208" s="14"/>
    </row>
    <row r="209" customFormat="false" ht="15" hidden="false" customHeight="false" outlineLevel="0" collapsed="false">
      <c r="A209" s="16"/>
      <c r="B209" s="14"/>
      <c r="C209" s="14" t="str">
        <f aca="false">IFERROR(IF($B209="","",INDEX(Inventory!$B$3:$B$253,MATCH($B209,Inventory!$A$3:$A$253,0))),"")</f>
        <v/>
      </c>
      <c r="D209" s="15"/>
      <c r="E209" s="11"/>
      <c r="F209" s="11" t="str">
        <f aca="false">IF($D209="","",$D209*$E209)</f>
        <v/>
      </c>
      <c r="G209" s="11" t="str">
        <f aca="false">IFERROR(IF($B209="","",INDEX(Inventory!$G$3:$G$253,MATCH($B209,Inventory!$A$3:$A$253,0))),"")</f>
        <v/>
      </c>
      <c r="H209" s="11" t="str">
        <f aca="false">IF($D209="","",$D209*IFERROR($G209+0,0))</f>
        <v/>
      </c>
      <c r="I209" s="11"/>
      <c r="J209" s="11"/>
      <c r="K209" s="11" t="str">
        <f aca="false">IF($F209="","",$F209-$I209-$J209)</f>
        <v/>
      </c>
      <c r="L209" s="11" t="str">
        <f aca="false">IF($K209="","",$K209-$H209)</f>
        <v/>
      </c>
      <c r="M209" s="12" t="str">
        <f aca="false">IF(OR($F209="",$F209=0),"",$L209/$F209)</f>
        <v/>
      </c>
      <c r="N209" s="14"/>
      <c r="O209" s="14"/>
      <c r="P209" s="14"/>
      <c r="Q209" s="14"/>
    </row>
    <row r="210" customFormat="false" ht="15" hidden="false" customHeight="false" outlineLevel="0" collapsed="false">
      <c r="A210" s="16"/>
      <c r="B210" s="14"/>
      <c r="C210" s="14" t="str">
        <f aca="false">IFERROR(IF($B210="","",INDEX(Inventory!$B$3:$B$253,MATCH($B210,Inventory!$A$3:$A$253,0))),"")</f>
        <v/>
      </c>
      <c r="D210" s="15"/>
      <c r="E210" s="11"/>
      <c r="F210" s="11" t="str">
        <f aca="false">IF($D210="","",$D210*$E210)</f>
        <v/>
      </c>
      <c r="G210" s="11" t="str">
        <f aca="false">IFERROR(IF($B210="","",INDEX(Inventory!$G$3:$G$253,MATCH($B210,Inventory!$A$3:$A$253,0))),"")</f>
        <v/>
      </c>
      <c r="H210" s="11" t="str">
        <f aca="false">IF($D210="","",$D210*IFERROR($G210+0,0))</f>
        <v/>
      </c>
      <c r="I210" s="11"/>
      <c r="J210" s="11"/>
      <c r="K210" s="11" t="str">
        <f aca="false">IF($F210="","",$F210-$I210-$J210)</f>
        <v/>
      </c>
      <c r="L210" s="11" t="str">
        <f aca="false">IF($K210="","",$K210-$H210)</f>
        <v/>
      </c>
      <c r="M210" s="12" t="str">
        <f aca="false">IF(OR($F210="",$F210=0),"",$L210/$F210)</f>
        <v/>
      </c>
      <c r="N210" s="14"/>
      <c r="O210" s="14"/>
      <c r="P210" s="14"/>
      <c r="Q210" s="14"/>
    </row>
    <row r="211" customFormat="false" ht="15" hidden="false" customHeight="false" outlineLevel="0" collapsed="false">
      <c r="A211" s="16"/>
      <c r="B211" s="14"/>
      <c r="C211" s="14" t="str">
        <f aca="false">IFERROR(IF($B211="","",INDEX(Inventory!$B$3:$B$253,MATCH($B211,Inventory!$A$3:$A$253,0))),"")</f>
        <v/>
      </c>
      <c r="D211" s="15"/>
      <c r="E211" s="11"/>
      <c r="F211" s="11" t="str">
        <f aca="false">IF($D211="","",$D211*$E211)</f>
        <v/>
      </c>
      <c r="G211" s="11" t="str">
        <f aca="false">IFERROR(IF($B211="","",INDEX(Inventory!$G$3:$G$253,MATCH($B211,Inventory!$A$3:$A$253,0))),"")</f>
        <v/>
      </c>
      <c r="H211" s="11" t="str">
        <f aca="false">IF($D211="","",$D211*IFERROR($G211+0,0))</f>
        <v/>
      </c>
      <c r="I211" s="11"/>
      <c r="J211" s="11"/>
      <c r="K211" s="11" t="str">
        <f aca="false">IF($F211="","",$F211-$I211-$J211)</f>
        <v/>
      </c>
      <c r="L211" s="11" t="str">
        <f aca="false">IF($K211="","",$K211-$H211)</f>
        <v/>
      </c>
      <c r="M211" s="12" t="str">
        <f aca="false">IF(OR($F211="",$F211=0),"",$L211/$F211)</f>
        <v/>
      </c>
      <c r="N211" s="14"/>
      <c r="O211" s="14"/>
      <c r="P211" s="14"/>
      <c r="Q211" s="14"/>
    </row>
    <row r="212" customFormat="false" ht="15" hidden="false" customHeight="false" outlineLevel="0" collapsed="false">
      <c r="A212" s="16"/>
      <c r="B212" s="14"/>
      <c r="C212" s="14" t="str">
        <f aca="false">IFERROR(IF($B212="","",INDEX(Inventory!$B$3:$B$253,MATCH($B212,Inventory!$A$3:$A$253,0))),"")</f>
        <v/>
      </c>
      <c r="D212" s="15"/>
      <c r="E212" s="11"/>
      <c r="F212" s="11" t="str">
        <f aca="false">IF($D212="","",$D212*$E212)</f>
        <v/>
      </c>
      <c r="G212" s="11" t="str">
        <f aca="false">IFERROR(IF($B212="","",INDEX(Inventory!$G$3:$G$253,MATCH($B212,Inventory!$A$3:$A$253,0))),"")</f>
        <v/>
      </c>
      <c r="H212" s="11" t="str">
        <f aca="false">IF($D212="","",$D212*IFERROR($G212+0,0))</f>
        <v/>
      </c>
      <c r="I212" s="11"/>
      <c r="J212" s="11"/>
      <c r="K212" s="11" t="str">
        <f aca="false">IF($F212="","",$F212-$I212-$J212)</f>
        <v/>
      </c>
      <c r="L212" s="11" t="str">
        <f aca="false">IF($K212="","",$K212-$H212)</f>
        <v/>
      </c>
      <c r="M212" s="12" t="str">
        <f aca="false">IF(OR($F212="",$F212=0),"",$L212/$F212)</f>
        <v/>
      </c>
      <c r="N212" s="14"/>
      <c r="O212" s="14"/>
      <c r="P212" s="14"/>
      <c r="Q212" s="14"/>
    </row>
    <row r="213" customFormat="false" ht="15" hidden="false" customHeight="false" outlineLevel="0" collapsed="false">
      <c r="A213" s="16"/>
      <c r="B213" s="14"/>
      <c r="C213" s="14" t="str">
        <f aca="false">IFERROR(IF($B213="","",INDEX(Inventory!$B$3:$B$253,MATCH($B213,Inventory!$A$3:$A$253,0))),"")</f>
        <v/>
      </c>
      <c r="D213" s="15"/>
      <c r="E213" s="11"/>
      <c r="F213" s="11" t="str">
        <f aca="false">IF($D213="","",$D213*$E213)</f>
        <v/>
      </c>
      <c r="G213" s="11" t="str">
        <f aca="false">IFERROR(IF($B213="","",INDEX(Inventory!$G$3:$G$253,MATCH($B213,Inventory!$A$3:$A$253,0))),"")</f>
        <v/>
      </c>
      <c r="H213" s="11" t="str">
        <f aca="false">IF($D213="","",$D213*IFERROR($G213+0,0))</f>
        <v/>
      </c>
      <c r="I213" s="11"/>
      <c r="J213" s="11"/>
      <c r="K213" s="11" t="str">
        <f aca="false">IF($F213="","",$F213-$I213-$J213)</f>
        <v/>
      </c>
      <c r="L213" s="11" t="str">
        <f aca="false">IF($K213="","",$K213-$H213)</f>
        <v/>
      </c>
      <c r="M213" s="12" t="str">
        <f aca="false">IF(OR($F213="",$F213=0),"",$L213/$F213)</f>
        <v/>
      </c>
      <c r="N213" s="14"/>
      <c r="O213" s="14"/>
      <c r="P213" s="14"/>
      <c r="Q213" s="14"/>
    </row>
    <row r="214" customFormat="false" ht="15" hidden="false" customHeight="false" outlineLevel="0" collapsed="false">
      <c r="A214" s="16"/>
      <c r="B214" s="14"/>
      <c r="C214" s="14" t="str">
        <f aca="false">IFERROR(IF($B214="","",INDEX(Inventory!$B$3:$B$253,MATCH($B214,Inventory!$A$3:$A$253,0))),"")</f>
        <v/>
      </c>
      <c r="D214" s="15"/>
      <c r="E214" s="11"/>
      <c r="F214" s="11" t="str">
        <f aca="false">IF($D214="","",$D214*$E214)</f>
        <v/>
      </c>
      <c r="G214" s="11" t="str">
        <f aca="false">IFERROR(IF($B214="","",INDEX(Inventory!$G$3:$G$253,MATCH($B214,Inventory!$A$3:$A$253,0))),"")</f>
        <v/>
      </c>
      <c r="H214" s="11" t="str">
        <f aca="false">IF($D214="","",$D214*IFERROR($G214+0,0))</f>
        <v/>
      </c>
      <c r="I214" s="11"/>
      <c r="J214" s="11"/>
      <c r="K214" s="11" t="str">
        <f aca="false">IF($F214="","",$F214-$I214-$J214)</f>
        <v/>
      </c>
      <c r="L214" s="11" t="str">
        <f aca="false">IF($K214="","",$K214-$H214)</f>
        <v/>
      </c>
      <c r="M214" s="12" t="str">
        <f aca="false">IF(OR($F214="",$F214=0),"",$L214/$F214)</f>
        <v/>
      </c>
      <c r="N214" s="14"/>
      <c r="O214" s="14"/>
      <c r="P214" s="14"/>
      <c r="Q214" s="14"/>
    </row>
    <row r="215" customFormat="false" ht="15" hidden="false" customHeight="false" outlineLevel="0" collapsed="false">
      <c r="A215" s="16"/>
      <c r="B215" s="14"/>
      <c r="C215" s="14" t="str">
        <f aca="false">IFERROR(IF($B215="","",INDEX(Inventory!$B$3:$B$253,MATCH($B215,Inventory!$A$3:$A$253,0))),"")</f>
        <v/>
      </c>
      <c r="D215" s="15"/>
      <c r="E215" s="11"/>
      <c r="F215" s="11" t="str">
        <f aca="false">IF($D215="","",$D215*$E215)</f>
        <v/>
      </c>
      <c r="G215" s="11" t="str">
        <f aca="false">IFERROR(IF($B215="","",INDEX(Inventory!$G$3:$G$253,MATCH($B215,Inventory!$A$3:$A$253,0))),"")</f>
        <v/>
      </c>
      <c r="H215" s="11" t="str">
        <f aca="false">IF($D215="","",$D215*IFERROR($G215+0,0))</f>
        <v/>
      </c>
      <c r="I215" s="11"/>
      <c r="J215" s="11"/>
      <c r="K215" s="11" t="str">
        <f aca="false">IF($F215="","",$F215-$I215-$J215)</f>
        <v/>
      </c>
      <c r="L215" s="11" t="str">
        <f aca="false">IF($K215="","",$K215-$H215)</f>
        <v/>
      </c>
      <c r="M215" s="12" t="str">
        <f aca="false">IF(OR($F215="",$F215=0),"",$L215/$F215)</f>
        <v/>
      </c>
      <c r="N215" s="14"/>
      <c r="O215" s="14"/>
      <c r="P215" s="14"/>
      <c r="Q215" s="14"/>
    </row>
    <row r="216" customFormat="false" ht="15" hidden="false" customHeight="false" outlineLevel="0" collapsed="false">
      <c r="A216" s="16"/>
      <c r="B216" s="14"/>
      <c r="C216" s="14" t="str">
        <f aca="false">IFERROR(IF($B216="","",INDEX(Inventory!$B$3:$B$253,MATCH($B216,Inventory!$A$3:$A$253,0))),"")</f>
        <v/>
      </c>
      <c r="D216" s="15"/>
      <c r="E216" s="11"/>
      <c r="F216" s="11" t="str">
        <f aca="false">IF($D216="","",$D216*$E216)</f>
        <v/>
      </c>
      <c r="G216" s="11" t="str">
        <f aca="false">IFERROR(IF($B216="","",INDEX(Inventory!$G$3:$G$253,MATCH($B216,Inventory!$A$3:$A$253,0))),"")</f>
        <v/>
      </c>
      <c r="H216" s="11" t="str">
        <f aca="false">IF($D216="","",$D216*IFERROR($G216+0,0))</f>
        <v/>
      </c>
      <c r="I216" s="11"/>
      <c r="J216" s="11"/>
      <c r="K216" s="11" t="str">
        <f aca="false">IF($F216="","",$F216-$I216-$J216)</f>
        <v/>
      </c>
      <c r="L216" s="11" t="str">
        <f aca="false">IF($K216="","",$K216-$H216)</f>
        <v/>
      </c>
      <c r="M216" s="12" t="str">
        <f aca="false">IF(OR($F216="",$F216=0),"",$L216/$F216)</f>
        <v/>
      </c>
      <c r="N216" s="14"/>
      <c r="O216" s="14"/>
      <c r="P216" s="14"/>
      <c r="Q216" s="14"/>
    </row>
    <row r="217" customFormat="false" ht="15" hidden="false" customHeight="false" outlineLevel="0" collapsed="false">
      <c r="A217" s="16"/>
      <c r="B217" s="14"/>
      <c r="C217" s="14" t="str">
        <f aca="false">IFERROR(IF($B217="","",INDEX(Inventory!$B$3:$B$253,MATCH($B217,Inventory!$A$3:$A$253,0))),"")</f>
        <v/>
      </c>
      <c r="D217" s="15"/>
      <c r="E217" s="11"/>
      <c r="F217" s="11" t="str">
        <f aca="false">IF($D217="","",$D217*$E217)</f>
        <v/>
      </c>
      <c r="G217" s="11" t="str">
        <f aca="false">IFERROR(IF($B217="","",INDEX(Inventory!$G$3:$G$253,MATCH($B217,Inventory!$A$3:$A$253,0))),"")</f>
        <v/>
      </c>
      <c r="H217" s="11" t="str">
        <f aca="false">IF($D217="","",$D217*IFERROR($G217+0,0))</f>
        <v/>
      </c>
      <c r="I217" s="11"/>
      <c r="J217" s="11"/>
      <c r="K217" s="11" t="str">
        <f aca="false">IF($F217="","",$F217-$I217-$J217)</f>
        <v/>
      </c>
      <c r="L217" s="11" t="str">
        <f aca="false">IF($K217="","",$K217-$H217)</f>
        <v/>
      </c>
      <c r="M217" s="12" t="str">
        <f aca="false">IF(OR($F217="",$F217=0),"",$L217/$F217)</f>
        <v/>
      </c>
      <c r="N217" s="14"/>
      <c r="O217" s="14"/>
      <c r="P217" s="14"/>
      <c r="Q217" s="14"/>
    </row>
    <row r="218" customFormat="false" ht="15" hidden="false" customHeight="false" outlineLevel="0" collapsed="false">
      <c r="A218" s="16"/>
      <c r="B218" s="14"/>
      <c r="C218" s="14" t="str">
        <f aca="false">IFERROR(IF($B218="","",INDEX(Inventory!$B$3:$B$253,MATCH($B218,Inventory!$A$3:$A$253,0))),"")</f>
        <v/>
      </c>
      <c r="D218" s="15"/>
      <c r="E218" s="11"/>
      <c r="F218" s="11" t="str">
        <f aca="false">IF($D218="","",$D218*$E218)</f>
        <v/>
      </c>
      <c r="G218" s="11" t="str">
        <f aca="false">IFERROR(IF($B218="","",INDEX(Inventory!$G$3:$G$253,MATCH($B218,Inventory!$A$3:$A$253,0))),"")</f>
        <v/>
      </c>
      <c r="H218" s="11" t="str">
        <f aca="false">IF($D218="","",$D218*IFERROR($G218+0,0))</f>
        <v/>
      </c>
      <c r="I218" s="11"/>
      <c r="J218" s="11"/>
      <c r="K218" s="11" t="str">
        <f aca="false">IF($F218="","",$F218-$I218-$J218)</f>
        <v/>
      </c>
      <c r="L218" s="11" t="str">
        <f aca="false">IF($K218="","",$K218-$H218)</f>
        <v/>
      </c>
      <c r="M218" s="12" t="str">
        <f aca="false">IF(OR($F218="",$F218=0),"",$L218/$F218)</f>
        <v/>
      </c>
      <c r="N218" s="14"/>
      <c r="O218" s="14"/>
      <c r="P218" s="14"/>
      <c r="Q218" s="14"/>
    </row>
    <row r="219" customFormat="false" ht="15" hidden="false" customHeight="false" outlineLevel="0" collapsed="false">
      <c r="A219" s="16"/>
      <c r="B219" s="14"/>
      <c r="C219" s="14" t="str">
        <f aca="false">IFERROR(IF($B219="","",INDEX(Inventory!$B$3:$B$253,MATCH($B219,Inventory!$A$3:$A$253,0))),"")</f>
        <v/>
      </c>
      <c r="D219" s="15"/>
      <c r="E219" s="11"/>
      <c r="F219" s="11" t="str">
        <f aca="false">IF($D219="","",$D219*$E219)</f>
        <v/>
      </c>
      <c r="G219" s="11" t="str">
        <f aca="false">IFERROR(IF($B219="","",INDEX(Inventory!$G$3:$G$253,MATCH($B219,Inventory!$A$3:$A$253,0))),"")</f>
        <v/>
      </c>
      <c r="H219" s="11" t="str">
        <f aca="false">IF($D219="","",$D219*IFERROR($G219+0,0))</f>
        <v/>
      </c>
      <c r="I219" s="11"/>
      <c r="J219" s="11"/>
      <c r="K219" s="11" t="str">
        <f aca="false">IF($F219="","",$F219-$I219-$J219)</f>
        <v/>
      </c>
      <c r="L219" s="11" t="str">
        <f aca="false">IF($K219="","",$K219-$H219)</f>
        <v/>
      </c>
      <c r="M219" s="12" t="str">
        <f aca="false">IF(OR($F219="",$F219=0),"",$L219/$F219)</f>
        <v/>
      </c>
      <c r="N219" s="14"/>
      <c r="O219" s="14"/>
      <c r="P219" s="14"/>
      <c r="Q219" s="14"/>
    </row>
    <row r="220" customFormat="false" ht="15" hidden="false" customHeight="false" outlineLevel="0" collapsed="false">
      <c r="A220" s="16"/>
      <c r="B220" s="14"/>
      <c r="C220" s="14" t="str">
        <f aca="false">IFERROR(IF($B220="","",INDEX(Inventory!$B$3:$B$253,MATCH($B220,Inventory!$A$3:$A$253,0))),"")</f>
        <v/>
      </c>
      <c r="D220" s="15"/>
      <c r="E220" s="11"/>
      <c r="F220" s="11" t="str">
        <f aca="false">IF($D220="","",$D220*$E220)</f>
        <v/>
      </c>
      <c r="G220" s="11" t="str">
        <f aca="false">IFERROR(IF($B220="","",INDEX(Inventory!$G$3:$G$253,MATCH($B220,Inventory!$A$3:$A$253,0))),"")</f>
        <v/>
      </c>
      <c r="H220" s="11" t="str">
        <f aca="false">IF($D220="","",$D220*IFERROR($G220+0,0))</f>
        <v/>
      </c>
      <c r="I220" s="11"/>
      <c r="J220" s="11"/>
      <c r="K220" s="11" t="str">
        <f aca="false">IF($F220="","",$F220-$I220-$J220)</f>
        <v/>
      </c>
      <c r="L220" s="11" t="str">
        <f aca="false">IF($K220="","",$K220-$H220)</f>
        <v/>
      </c>
      <c r="M220" s="12" t="str">
        <f aca="false">IF(OR($F220="",$F220=0),"",$L220/$F220)</f>
        <v/>
      </c>
      <c r="N220" s="14"/>
      <c r="O220" s="14"/>
      <c r="P220" s="14"/>
      <c r="Q220" s="14"/>
    </row>
    <row r="221" customFormat="false" ht="15" hidden="false" customHeight="false" outlineLevel="0" collapsed="false">
      <c r="A221" s="16"/>
      <c r="B221" s="14"/>
      <c r="C221" s="14" t="str">
        <f aca="false">IFERROR(IF($B221="","",INDEX(Inventory!$B$3:$B$253,MATCH($B221,Inventory!$A$3:$A$253,0))),"")</f>
        <v/>
      </c>
      <c r="D221" s="15"/>
      <c r="E221" s="11"/>
      <c r="F221" s="11" t="str">
        <f aca="false">IF($D221="","",$D221*$E221)</f>
        <v/>
      </c>
      <c r="G221" s="11" t="str">
        <f aca="false">IFERROR(IF($B221="","",INDEX(Inventory!$G$3:$G$253,MATCH($B221,Inventory!$A$3:$A$253,0))),"")</f>
        <v/>
      </c>
      <c r="H221" s="11" t="str">
        <f aca="false">IF($D221="","",$D221*IFERROR($G221+0,0))</f>
        <v/>
      </c>
      <c r="I221" s="11"/>
      <c r="J221" s="11"/>
      <c r="K221" s="11" t="str">
        <f aca="false">IF($F221="","",$F221-$I221-$J221)</f>
        <v/>
      </c>
      <c r="L221" s="11" t="str">
        <f aca="false">IF($K221="","",$K221-$H221)</f>
        <v/>
      </c>
      <c r="M221" s="12" t="str">
        <f aca="false">IF(OR($F221="",$F221=0),"",$L221/$F221)</f>
        <v/>
      </c>
      <c r="N221" s="14"/>
      <c r="O221" s="14"/>
      <c r="P221" s="14"/>
      <c r="Q221" s="14"/>
    </row>
    <row r="222" customFormat="false" ht="15" hidden="false" customHeight="false" outlineLevel="0" collapsed="false">
      <c r="A222" s="16"/>
      <c r="B222" s="14"/>
      <c r="C222" s="14" t="str">
        <f aca="false">IFERROR(IF($B222="","",INDEX(Inventory!$B$3:$B$253,MATCH($B222,Inventory!$A$3:$A$253,0))),"")</f>
        <v/>
      </c>
      <c r="D222" s="15"/>
      <c r="E222" s="11"/>
      <c r="F222" s="11" t="str">
        <f aca="false">IF($D222="","",$D222*$E222)</f>
        <v/>
      </c>
      <c r="G222" s="11" t="str">
        <f aca="false">IFERROR(IF($B222="","",INDEX(Inventory!$G$3:$G$253,MATCH($B222,Inventory!$A$3:$A$253,0))),"")</f>
        <v/>
      </c>
      <c r="H222" s="11" t="str">
        <f aca="false">IF($D222="","",$D222*IFERROR($G222+0,0))</f>
        <v/>
      </c>
      <c r="I222" s="11"/>
      <c r="J222" s="11"/>
      <c r="K222" s="11" t="str">
        <f aca="false">IF($F222="","",$F222-$I222-$J222)</f>
        <v/>
      </c>
      <c r="L222" s="11" t="str">
        <f aca="false">IF($K222="","",$K222-$H222)</f>
        <v/>
      </c>
      <c r="M222" s="12" t="str">
        <f aca="false">IF(OR($F222="",$F222=0),"",$L222/$F222)</f>
        <v/>
      </c>
      <c r="N222" s="14"/>
      <c r="O222" s="14"/>
      <c r="P222" s="14"/>
      <c r="Q222" s="14"/>
    </row>
    <row r="223" customFormat="false" ht="15" hidden="false" customHeight="false" outlineLevel="0" collapsed="false">
      <c r="A223" s="16"/>
      <c r="B223" s="14"/>
      <c r="C223" s="14" t="str">
        <f aca="false">IFERROR(IF($B223="","",INDEX(Inventory!$B$3:$B$253,MATCH($B223,Inventory!$A$3:$A$253,0))),"")</f>
        <v/>
      </c>
      <c r="D223" s="15"/>
      <c r="E223" s="11"/>
      <c r="F223" s="11" t="str">
        <f aca="false">IF($D223="","",$D223*$E223)</f>
        <v/>
      </c>
      <c r="G223" s="11" t="str">
        <f aca="false">IFERROR(IF($B223="","",INDEX(Inventory!$G$3:$G$253,MATCH($B223,Inventory!$A$3:$A$253,0))),"")</f>
        <v/>
      </c>
      <c r="H223" s="11" t="str">
        <f aca="false">IF($D223="","",$D223*IFERROR($G223+0,0))</f>
        <v/>
      </c>
      <c r="I223" s="11"/>
      <c r="J223" s="11"/>
      <c r="K223" s="11" t="str">
        <f aca="false">IF($F223="","",$F223-$I223-$J223)</f>
        <v/>
      </c>
      <c r="L223" s="11" t="str">
        <f aca="false">IF($K223="","",$K223-$H223)</f>
        <v/>
      </c>
      <c r="M223" s="12" t="str">
        <f aca="false">IF(OR($F223="",$F223=0),"",$L223/$F223)</f>
        <v/>
      </c>
      <c r="N223" s="14"/>
      <c r="O223" s="14"/>
      <c r="P223" s="14"/>
      <c r="Q223" s="14"/>
    </row>
    <row r="224" customFormat="false" ht="15" hidden="false" customHeight="false" outlineLevel="0" collapsed="false">
      <c r="A224" s="16"/>
      <c r="B224" s="14"/>
      <c r="C224" s="14" t="str">
        <f aca="false">IFERROR(IF($B224="","",INDEX(Inventory!$B$3:$B$253,MATCH($B224,Inventory!$A$3:$A$253,0))),"")</f>
        <v/>
      </c>
      <c r="D224" s="15"/>
      <c r="E224" s="11"/>
      <c r="F224" s="11" t="str">
        <f aca="false">IF($D224="","",$D224*$E224)</f>
        <v/>
      </c>
      <c r="G224" s="11" t="str">
        <f aca="false">IFERROR(IF($B224="","",INDEX(Inventory!$G$3:$G$253,MATCH($B224,Inventory!$A$3:$A$253,0))),"")</f>
        <v/>
      </c>
      <c r="H224" s="11" t="str">
        <f aca="false">IF($D224="","",$D224*IFERROR($G224+0,0))</f>
        <v/>
      </c>
      <c r="I224" s="11"/>
      <c r="J224" s="11"/>
      <c r="K224" s="11" t="str">
        <f aca="false">IF($F224="","",$F224-$I224-$J224)</f>
        <v/>
      </c>
      <c r="L224" s="11" t="str">
        <f aca="false">IF($K224="","",$K224-$H224)</f>
        <v/>
      </c>
      <c r="M224" s="12" t="str">
        <f aca="false">IF(OR($F224="",$F224=0),"",$L224/$F224)</f>
        <v/>
      </c>
      <c r="N224" s="14"/>
      <c r="O224" s="14"/>
      <c r="P224" s="14"/>
      <c r="Q224" s="14"/>
    </row>
    <row r="225" customFormat="false" ht="15" hidden="false" customHeight="false" outlineLevel="0" collapsed="false">
      <c r="A225" s="16"/>
      <c r="B225" s="14"/>
      <c r="C225" s="14" t="str">
        <f aca="false">IFERROR(IF($B225="","",INDEX(Inventory!$B$3:$B$253,MATCH($B225,Inventory!$A$3:$A$253,0))),"")</f>
        <v/>
      </c>
      <c r="D225" s="15"/>
      <c r="E225" s="11"/>
      <c r="F225" s="11" t="str">
        <f aca="false">IF($D225="","",$D225*$E225)</f>
        <v/>
      </c>
      <c r="G225" s="11" t="str">
        <f aca="false">IFERROR(IF($B225="","",INDEX(Inventory!$G$3:$G$253,MATCH($B225,Inventory!$A$3:$A$253,0))),"")</f>
        <v/>
      </c>
      <c r="H225" s="11" t="str">
        <f aca="false">IF($D225="","",$D225*IFERROR($G225+0,0))</f>
        <v/>
      </c>
      <c r="I225" s="11"/>
      <c r="J225" s="11"/>
      <c r="K225" s="11" t="str">
        <f aca="false">IF($F225="","",$F225-$I225-$J225)</f>
        <v/>
      </c>
      <c r="L225" s="11" t="str">
        <f aca="false">IF($K225="","",$K225-$H225)</f>
        <v/>
      </c>
      <c r="M225" s="12" t="str">
        <f aca="false">IF(OR($F225="",$F225=0),"",$L225/$F225)</f>
        <v/>
      </c>
      <c r="N225" s="14"/>
      <c r="O225" s="14"/>
      <c r="P225" s="14"/>
      <c r="Q225" s="14"/>
    </row>
    <row r="226" customFormat="false" ht="15" hidden="false" customHeight="false" outlineLevel="0" collapsed="false">
      <c r="A226" s="16"/>
      <c r="B226" s="14"/>
      <c r="C226" s="14" t="str">
        <f aca="false">IFERROR(IF($B226="","",INDEX(Inventory!$B$3:$B$253,MATCH($B226,Inventory!$A$3:$A$253,0))),"")</f>
        <v/>
      </c>
      <c r="D226" s="15"/>
      <c r="E226" s="11"/>
      <c r="F226" s="11" t="str">
        <f aca="false">IF($D226="","",$D226*$E226)</f>
        <v/>
      </c>
      <c r="G226" s="11" t="str">
        <f aca="false">IFERROR(IF($B226="","",INDEX(Inventory!$G$3:$G$253,MATCH($B226,Inventory!$A$3:$A$253,0))),"")</f>
        <v/>
      </c>
      <c r="H226" s="11" t="str">
        <f aca="false">IF($D226="","",$D226*IFERROR($G226+0,0))</f>
        <v/>
      </c>
      <c r="I226" s="11"/>
      <c r="J226" s="11"/>
      <c r="K226" s="11" t="str">
        <f aca="false">IF($F226="","",$F226-$I226-$J226)</f>
        <v/>
      </c>
      <c r="L226" s="11" t="str">
        <f aca="false">IF($K226="","",$K226-$H226)</f>
        <v/>
      </c>
      <c r="M226" s="12" t="str">
        <f aca="false">IF(OR($F226="",$F226=0),"",$L226/$F226)</f>
        <v/>
      </c>
      <c r="N226" s="14"/>
      <c r="O226" s="14"/>
      <c r="P226" s="14"/>
      <c r="Q226" s="14"/>
    </row>
    <row r="227" customFormat="false" ht="15" hidden="false" customHeight="false" outlineLevel="0" collapsed="false">
      <c r="A227" s="16"/>
      <c r="B227" s="14"/>
      <c r="C227" s="14" t="str">
        <f aca="false">IFERROR(IF($B227="","",INDEX(Inventory!$B$3:$B$253,MATCH($B227,Inventory!$A$3:$A$253,0))),"")</f>
        <v/>
      </c>
      <c r="D227" s="15"/>
      <c r="E227" s="11"/>
      <c r="F227" s="11" t="str">
        <f aca="false">IF($D227="","",$D227*$E227)</f>
        <v/>
      </c>
      <c r="G227" s="11" t="str">
        <f aca="false">IFERROR(IF($B227="","",INDEX(Inventory!$G$3:$G$253,MATCH($B227,Inventory!$A$3:$A$253,0))),"")</f>
        <v/>
      </c>
      <c r="H227" s="11" t="str">
        <f aca="false">IF($D227="","",$D227*IFERROR($G227+0,0))</f>
        <v/>
      </c>
      <c r="I227" s="11"/>
      <c r="J227" s="11"/>
      <c r="K227" s="11" t="str">
        <f aca="false">IF($F227="","",$F227-$I227-$J227)</f>
        <v/>
      </c>
      <c r="L227" s="11" t="str">
        <f aca="false">IF($K227="","",$K227-$H227)</f>
        <v/>
      </c>
      <c r="M227" s="12" t="str">
        <f aca="false">IF(OR($F227="",$F227=0),"",$L227/$F227)</f>
        <v/>
      </c>
      <c r="N227" s="14"/>
      <c r="O227" s="14"/>
      <c r="P227" s="14"/>
      <c r="Q227" s="14"/>
    </row>
    <row r="228" customFormat="false" ht="15" hidden="false" customHeight="false" outlineLevel="0" collapsed="false">
      <c r="A228" s="16"/>
      <c r="B228" s="14"/>
      <c r="C228" s="14" t="str">
        <f aca="false">IFERROR(IF($B228="","",INDEX(Inventory!$B$3:$B$253,MATCH($B228,Inventory!$A$3:$A$253,0))),"")</f>
        <v/>
      </c>
      <c r="D228" s="15"/>
      <c r="E228" s="11"/>
      <c r="F228" s="11" t="str">
        <f aca="false">IF($D228="","",$D228*$E228)</f>
        <v/>
      </c>
      <c r="G228" s="11" t="str">
        <f aca="false">IFERROR(IF($B228="","",INDEX(Inventory!$G$3:$G$253,MATCH($B228,Inventory!$A$3:$A$253,0))),"")</f>
        <v/>
      </c>
      <c r="H228" s="11" t="str">
        <f aca="false">IF($D228="","",$D228*IFERROR($G228+0,0))</f>
        <v/>
      </c>
      <c r="I228" s="11"/>
      <c r="J228" s="11"/>
      <c r="K228" s="11" t="str">
        <f aca="false">IF($F228="","",$F228-$I228-$J228)</f>
        <v/>
      </c>
      <c r="L228" s="11" t="str">
        <f aca="false">IF($K228="","",$K228-$H228)</f>
        <v/>
      </c>
      <c r="M228" s="12" t="str">
        <f aca="false">IF(OR($F228="",$F228=0),"",$L228/$F228)</f>
        <v/>
      </c>
      <c r="N228" s="14"/>
      <c r="O228" s="14"/>
      <c r="P228" s="14"/>
      <c r="Q228" s="14"/>
    </row>
    <row r="229" customFormat="false" ht="15" hidden="false" customHeight="false" outlineLevel="0" collapsed="false">
      <c r="A229" s="16"/>
      <c r="B229" s="14"/>
      <c r="C229" s="14" t="str">
        <f aca="false">IFERROR(IF($B229="","",INDEX(Inventory!$B$3:$B$253,MATCH($B229,Inventory!$A$3:$A$253,0))),"")</f>
        <v/>
      </c>
      <c r="D229" s="15"/>
      <c r="E229" s="11"/>
      <c r="F229" s="11" t="str">
        <f aca="false">IF($D229="","",$D229*$E229)</f>
        <v/>
      </c>
      <c r="G229" s="11" t="str">
        <f aca="false">IFERROR(IF($B229="","",INDEX(Inventory!$G$3:$G$253,MATCH($B229,Inventory!$A$3:$A$253,0))),"")</f>
        <v/>
      </c>
      <c r="H229" s="11" t="str">
        <f aca="false">IF($D229="","",$D229*IFERROR($G229+0,0))</f>
        <v/>
      </c>
      <c r="I229" s="11"/>
      <c r="J229" s="11"/>
      <c r="K229" s="11" t="str">
        <f aca="false">IF($F229="","",$F229-$I229-$J229)</f>
        <v/>
      </c>
      <c r="L229" s="11" t="str">
        <f aca="false">IF($K229="","",$K229-$H229)</f>
        <v/>
      </c>
      <c r="M229" s="12" t="str">
        <f aca="false">IF(OR($F229="",$F229=0),"",$L229/$F229)</f>
        <v/>
      </c>
      <c r="N229" s="14"/>
      <c r="O229" s="14"/>
      <c r="P229" s="14"/>
      <c r="Q229" s="14"/>
    </row>
    <row r="230" customFormat="false" ht="15" hidden="false" customHeight="false" outlineLevel="0" collapsed="false">
      <c r="A230" s="16"/>
      <c r="B230" s="14"/>
      <c r="C230" s="14" t="str">
        <f aca="false">IFERROR(IF($B230="","",INDEX(Inventory!$B$3:$B$253,MATCH($B230,Inventory!$A$3:$A$253,0))),"")</f>
        <v/>
      </c>
      <c r="D230" s="15"/>
      <c r="E230" s="11"/>
      <c r="F230" s="11" t="str">
        <f aca="false">IF($D230="","",$D230*$E230)</f>
        <v/>
      </c>
      <c r="G230" s="11" t="str">
        <f aca="false">IFERROR(IF($B230="","",INDEX(Inventory!$G$3:$G$253,MATCH($B230,Inventory!$A$3:$A$253,0))),"")</f>
        <v/>
      </c>
      <c r="H230" s="11" t="str">
        <f aca="false">IF($D230="","",$D230*IFERROR($G230+0,0))</f>
        <v/>
      </c>
      <c r="I230" s="11"/>
      <c r="J230" s="11"/>
      <c r="K230" s="11" t="str">
        <f aca="false">IF($F230="","",$F230-$I230-$J230)</f>
        <v/>
      </c>
      <c r="L230" s="11" t="str">
        <f aca="false">IF($K230="","",$K230-$H230)</f>
        <v/>
      </c>
      <c r="M230" s="12" t="str">
        <f aca="false">IF(OR($F230="",$F230=0),"",$L230/$F230)</f>
        <v/>
      </c>
      <c r="N230" s="14"/>
      <c r="O230" s="14"/>
      <c r="P230" s="14"/>
      <c r="Q230" s="14"/>
    </row>
    <row r="231" customFormat="false" ht="15" hidden="false" customHeight="false" outlineLevel="0" collapsed="false">
      <c r="A231" s="16"/>
      <c r="B231" s="14"/>
      <c r="C231" s="14" t="str">
        <f aca="false">IFERROR(IF($B231="","",INDEX(Inventory!$B$3:$B$253,MATCH($B231,Inventory!$A$3:$A$253,0))),"")</f>
        <v/>
      </c>
      <c r="D231" s="15"/>
      <c r="E231" s="11"/>
      <c r="F231" s="11" t="str">
        <f aca="false">IF($D231="","",$D231*$E231)</f>
        <v/>
      </c>
      <c r="G231" s="11" t="str">
        <f aca="false">IFERROR(IF($B231="","",INDEX(Inventory!$G$3:$G$253,MATCH($B231,Inventory!$A$3:$A$253,0))),"")</f>
        <v/>
      </c>
      <c r="H231" s="11" t="str">
        <f aca="false">IF($D231="","",$D231*IFERROR($G231+0,0))</f>
        <v/>
      </c>
      <c r="I231" s="11"/>
      <c r="J231" s="11"/>
      <c r="K231" s="11" t="str">
        <f aca="false">IF($F231="","",$F231-$I231-$J231)</f>
        <v/>
      </c>
      <c r="L231" s="11" t="str">
        <f aca="false">IF($K231="","",$K231-$H231)</f>
        <v/>
      </c>
      <c r="M231" s="12" t="str">
        <f aca="false">IF(OR($F231="",$F231=0),"",$L231/$F231)</f>
        <v/>
      </c>
      <c r="N231" s="14"/>
      <c r="O231" s="14"/>
      <c r="P231" s="14"/>
      <c r="Q231" s="14"/>
    </row>
    <row r="232" customFormat="false" ht="15" hidden="false" customHeight="false" outlineLevel="0" collapsed="false">
      <c r="A232" s="16"/>
      <c r="B232" s="14"/>
      <c r="C232" s="14" t="str">
        <f aca="false">IFERROR(IF($B232="","",INDEX(Inventory!$B$3:$B$253,MATCH($B232,Inventory!$A$3:$A$253,0))),"")</f>
        <v/>
      </c>
      <c r="D232" s="15"/>
      <c r="E232" s="11"/>
      <c r="F232" s="11" t="str">
        <f aca="false">IF($D232="","",$D232*$E232)</f>
        <v/>
      </c>
      <c r="G232" s="11" t="str">
        <f aca="false">IFERROR(IF($B232="","",INDEX(Inventory!$G$3:$G$253,MATCH($B232,Inventory!$A$3:$A$253,0))),"")</f>
        <v/>
      </c>
      <c r="H232" s="11" t="str">
        <f aca="false">IF($D232="","",$D232*IFERROR($G232+0,0))</f>
        <v/>
      </c>
      <c r="I232" s="11"/>
      <c r="J232" s="11"/>
      <c r="K232" s="11" t="str">
        <f aca="false">IF($F232="","",$F232-$I232-$J232)</f>
        <v/>
      </c>
      <c r="L232" s="11" t="str">
        <f aca="false">IF($K232="","",$K232-$H232)</f>
        <v/>
      </c>
      <c r="M232" s="12" t="str">
        <f aca="false">IF(OR($F232="",$F232=0),"",$L232/$F232)</f>
        <v/>
      </c>
      <c r="N232" s="14"/>
      <c r="O232" s="14"/>
      <c r="P232" s="14"/>
      <c r="Q232" s="14"/>
    </row>
    <row r="233" customFormat="false" ht="15" hidden="false" customHeight="false" outlineLevel="0" collapsed="false">
      <c r="A233" s="16"/>
      <c r="B233" s="14"/>
      <c r="C233" s="14" t="str">
        <f aca="false">IFERROR(IF($B233="","",INDEX(Inventory!$B$3:$B$253,MATCH($B233,Inventory!$A$3:$A$253,0))),"")</f>
        <v/>
      </c>
      <c r="D233" s="15"/>
      <c r="E233" s="11"/>
      <c r="F233" s="11" t="str">
        <f aca="false">IF($D233="","",$D233*$E233)</f>
        <v/>
      </c>
      <c r="G233" s="11" t="str">
        <f aca="false">IFERROR(IF($B233="","",INDEX(Inventory!$G$3:$G$253,MATCH($B233,Inventory!$A$3:$A$253,0))),"")</f>
        <v/>
      </c>
      <c r="H233" s="11" t="str">
        <f aca="false">IF($D233="","",$D233*IFERROR($G233+0,0))</f>
        <v/>
      </c>
      <c r="I233" s="11"/>
      <c r="J233" s="11"/>
      <c r="K233" s="11" t="str">
        <f aca="false">IF($F233="","",$F233-$I233-$J233)</f>
        <v/>
      </c>
      <c r="L233" s="11" t="str">
        <f aca="false">IF($K233="","",$K233-$H233)</f>
        <v/>
      </c>
      <c r="M233" s="12" t="str">
        <f aca="false">IF(OR($F233="",$F233=0),"",$L233/$F233)</f>
        <v/>
      </c>
      <c r="N233" s="14"/>
      <c r="O233" s="14"/>
      <c r="P233" s="14"/>
      <c r="Q233" s="14"/>
    </row>
    <row r="234" customFormat="false" ht="15" hidden="false" customHeight="false" outlineLevel="0" collapsed="false">
      <c r="A234" s="16"/>
      <c r="B234" s="14"/>
      <c r="C234" s="14" t="str">
        <f aca="false">IFERROR(IF($B234="","",INDEX(Inventory!$B$3:$B$253,MATCH($B234,Inventory!$A$3:$A$253,0))),"")</f>
        <v/>
      </c>
      <c r="D234" s="15"/>
      <c r="E234" s="11"/>
      <c r="F234" s="11" t="str">
        <f aca="false">IF($D234="","",$D234*$E234)</f>
        <v/>
      </c>
      <c r="G234" s="11" t="str">
        <f aca="false">IFERROR(IF($B234="","",INDEX(Inventory!$G$3:$G$253,MATCH($B234,Inventory!$A$3:$A$253,0))),"")</f>
        <v/>
      </c>
      <c r="H234" s="11" t="str">
        <f aca="false">IF($D234="","",$D234*IFERROR($G234+0,0))</f>
        <v/>
      </c>
      <c r="I234" s="11"/>
      <c r="J234" s="11"/>
      <c r="K234" s="11" t="str">
        <f aca="false">IF($F234="","",$F234-$I234-$J234)</f>
        <v/>
      </c>
      <c r="L234" s="11" t="str">
        <f aca="false">IF($K234="","",$K234-$H234)</f>
        <v/>
      </c>
      <c r="M234" s="12" t="str">
        <f aca="false">IF(OR($F234="",$F234=0),"",$L234/$F234)</f>
        <v/>
      </c>
      <c r="N234" s="14"/>
      <c r="O234" s="14"/>
      <c r="P234" s="14"/>
      <c r="Q234" s="14"/>
    </row>
    <row r="235" customFormat="false" ht="15" hidden="false" customHeight="false" outlineLevel="0" collapsed="false">
      <c r="A235" s="16"/>
      <c r="B235" s="14"/>
      <c r="C235" s="14" t="str">
        <f aca="false">IFERROR(IF($B235="","",INDEX(Inventory!$B$3:$B$253,MATCH($B235,Inventory!$A$3:$A$253,0))),"")</f>
        <v/>
      </c>
      <c r="D235" s="15"/>
      <c r="E235" s="11"/>
      <c r="F235" s="11" t="str">
        <f aca="false">IF($D235="","",$D235*$E235)</f>
        <v/>
      </c>
      <c r="G235" s="11" t="str">
        <f aca="false">IFERROR(IF($B235="","",INDEX(Inventory!$G$3:$G$253,MATCH($B235,Inventory!$A$3:$A$253,0))),"")</f>
        <v/>
      </c>
      <c r="H235" s="11" t="str">
        <f aca="false">IF($D235="","",$D235*IFERROR($G235+0,0))</f>
        <v/>
      </c>
      <c r="I235" s="11"/>
      <c r="J235" s="11"/>
      <c r="K235" s="11" t="str">
        <f aca="false">IF($F235="","",$F235-$I235-$J235)</f>
        <v/>
      </c>
      <c r="L235" s="11" t="str">
        <f aca="false">IF($K235="","",$K235-$H235)</f>
        <v/>
      </c>
      <c r="M235" s="12" t="str">
        <f aca="false">IF(OR($F235="",$F235=0),"",$L235/$F235)</f>
        <v/>
      </c>
      <c r="N235" s="14"/>
      <c r="O235" s="14"/>
      <c r="P235" s="14"/>
      <c r="Q235" s="14"/>
    </row>
    <row r="236" customFormat="false" ht="15" hidden="false" customHeight="false" outlineLevel="0" collapsed="false">
      <c r="A236" s="16"/>
      <c r="B236" s="14"/>
      <c r="C236" s="14" t="str">
        <f aca="false">IFERROR(IF($B236="","",INDEX(Inventory!$B$3:$B$253,MATCH($B236,Inventory!$A$3:$A$253,0))),"")</f>
        <v/>
      </c>
      <c r="D236" s="15"/>
      <c r="E236" s="11"/>
      <c r="F236" s="11" t="str">
        <f aca="false">IF($D236="","",$D236*$E236)</f>
        <v/>
      </c>
      <c r="G236" s="11" t="str">
        <f aca="false">IFERROR(IF($B236="","",INDEX(Inventory!$G$3:$G$253,MATCH($B236,Inventory!$A$3:$A$253,0))),"")</f>
        <v/>
      </c>
      <c r="H236" s="11" t="str">
        <f aca="false">IF($D236="","",$D236*IFERROR($G236+0,0))</f>
        <v/>
      </c>
      <c r="I236" s="11"/>
      <c r="J236" s="11"/>
      <c r="K236" s="11" t="str">
        <f aca="false">IF($F236="","",$F236-$I236-$J236)</f>
        <v/>
      </c>
      <c r="L236" s="11" t="str">
        <f aca="false">IF($K236="","",$K236-$H236)</f>
        <v/>
      </c>
      <c r="M236" s="12" t="str">
        <f aca="false">IF(OR($F236="",$F236=0),"",$L236/$F236)</f>
        <v/>
      </c>
      <c r="N236" s="14"/>
      <c r="O236" s="14"/>
      <c r="P236" s="14"/>
      <c r="Q236" s="14"/>
    </row>
    <row r="237" customFormat="false" ht="15" hidden="false" customHeight="false" outlineLevel="0" collapsed="false">
      <c r="A237" s="16"/>
      <c r="B237" s="14"/>
      <c r="C237" s="14" t="str">
        <f aca="false">IFERROR(IF($B237="","",INDEX(Inventory!$B$3:$B$253,MATCH($B237,Inventory!$A$3:$A$253,0))),"")</f>
        <v/>
      </c>
      <c r="D237" s="15"/>
      <c r="E237" s="11"/>
      <c r="F237" s="11" t="str">
        <f aca="false">IF($D237="","",$D237*$E237)</f>
        <v/>
      </c>
      <c r="G237" s="11" t="str">
        <f aca="false">IFERROR(IF($B237="","",INDEX(Inventory!$G$3:$G$253,MATCH($B237,Inventory!$A$3:$A$253,0))),"")</f>
        <v/>
      </c>
      <c r="H237" s="11" t="str">
        <f aca="false">IF($D237="","",$D237*IFERROR($G237+0,0))</f>
        <v/>
      </c>
      <c r="I237" s="11"/>
      <c r="J237" s="11"/>
      <c r="K237" s="11" t="str">
        <f aca="false">IF($F237="","",$F237-$I237-$J237)</f>
        <v/>
      </c>
      <c r="L237" s="11" t="str">
        <f aca="false">IF($K237="","",$K237-$H237)</f>
        <v/>
      </c>
      <c r="M237" s="12" t="str">
        <f aca="false">IF(OR($F237="",$F237=0),"",$L237/$F237)</f>
        <v/>
      </c>
      <c r="N237" s="14"/>
      <c r="O237" s="14"/>
      <c r="P237" s="14"/>
      <c r="Q237" s="14"/>
    </row>
    <row r="238" customFormat="false" ht="15" hidden="false" customHeight="false" outlineLevel="0" collapsed="false">
      <c r="A238" s="16"/>
      <c r="B238" s="14"/>
      <c r="C238" s="14" t="str">
        <f aca="false">IFERROR(IF($B238="","",INDEX(Inventory!$B$3:$B$253,MATCH($B238,Inventory!$A$3:$A$253,0))),"")</f>
        <v/>
      </c>
      <c r="D238" s="15"/>
      <c r="E238" s="11"/>
      <c r="F238" s="11" t="str">
        <f aca="false">IF($D238="","",$D238*$E238)</f>
        <v/>
      </c>
      <c r="G238" s="11" t="str">
        <f aca="false">IFERROR(IF($B238="","",INDEX(Inventory!$G$3:$G$253,MATCH($B238,Inventory!$A$3:$A$253,0))),"")</f>
        <v/>
      </c>
      <c r="H238" s="11" t="str">
        <f aca="false">IF($D238="","",$D238*IFERROR($G238+0,0))</f>
        <v/>
      </c>
      <c r="I238" s="11"/>
      <c r="J238" s="11"/>
      <c r="K238" s="11" t="str">
        <f aca="false">IF($F238="","",$F238-$I238-$J238)</f>
        <v/>
      </c>
      <c r="L238" s="11" t="str">
        <f aca="false">IF($K238="","",$K238-$H238)</f>
        <v/>
      </c>
      <c r="M238" s="12" t="str">
        <f aca="false">IF(OR($F238="",$F238=0),"",$L238/$F238)</f>
        <v/>
      </c>
      <c r="N238" s="14"/>
      <c r="O238" s="14"/>
      <c r="P238" s="14"/>
      <c r="Q238" s="14"/>
    </row>
    <row r="239" customFormat="false" ht="15" hidden="false" customHeight="false" outlineLevel="0" collapsed="false">
      <c r="A239" s="16"/>
      <c r="B239" s="14"/>
      <c r="C239" s="14" t="str">
        <f aca="false">IFERROR(IF($B239="","",INDEX(Inventory!$B$3:$B$253,MATCH($B239,Inventory!$A$3:$A$253,0))),"")</f>
        <v/>
      </c>
      <c r="D239" s="15"/>
      <c r="E239" s="11"/>
      <c r="F239" s="11" t="str">
        <f aca="false">IF($D239="","",$D239*$E239)</f>
        <v/>
      </c>
      <c r="G239" s="11" t="str">
        <f aca="false">IFERROR(IF($B239="","",INDEX(Inventory!$G$3:$G$253,MATCH($B239,Inventory!$A$3:$A$253,0))),"")</f>
        <v/>
      </c>
      <c r="H239" s="11" t="str">
        <f aca="false">IF($D239="","",$D239*IFERROR($G239+0,0))</f>
        <v/>
      </c>
      <c r="I239" s="11"/>
      <c r="J239" s="11"/>
      <c r="K239" s="11" t="str">
        <f aca="false">IF($F239="","",$F239-$I239-$J239)</f>
        <v/>
      </c>
      <c r="L239" s="11" t="str">
        <f aca="false">IF($K239="","",$K239-$H239)</f>
        <v/>
      </c>
      <c r="M239" s="12" t="str">
        <f aca="false">IF(OR($F239="",$F239=0),"",$L239/$F239)</f>
        <v/>
      </c>
      <c r="N239" s="14"/>
      <c r="O239" s="14"/>
      <c r="P239" s="14"/>
      <c r="Q239" s="14"/>
    </row>
    <row r="240" customFormat="false" ht="15" hidden="false" customHeight="false" outlineLevel="0" collapsed="false">
      <c r="A240" s="16"/>
      <c r="B240" s="14"/>
      <c r="C240" s="14" t="str">
        <f aca="false">IFERROR(IF($B240="","",INDEX(Inventory!$B$3:$B$253,MATCH($B240,Inventory!$A$3:$A$253,0))),"")</f>
        <v/>
      </c>
      <c r="D240" s="15"/>
      <c r="E240" s="11"/>
      <c r="F240" s="11" t="str">
        <f aca="false">IF($D240="","",$D240*$E240)</f>
        <v/>
      </c>
      <c r="G240" s="11" t="str">
        <f aca="false">IFERROR(IF($B240="","",INDEX(Inventory!$G$3:$G$253,MATCH($B240,Inventory!$A$3:$A$253,0))),"")</f>
        <v/>
      </c>
      <c r="H240" s="11" t="str">
        <f aca="false">IF($D240="","",$D240*IFERROR($G240+0,0))</f>
        <v/>
      </c>
      <c r="I240" s="11"/>
      <c r="J240" s="11"/>
      <c r="K240" s="11" t="str">
        <f aca="false">IF($F240="","",$F240-$I240-$J240)</f>
        <v/>
      </c>
      <c r="L240" s="11" t="str">
        <f aca="false">IF($K240="","",$K240-$H240)</f>
        <v/>
      </c>
      <c r="M240" s="12" t="str">
        <f aca="false">IF(OR($F240="",$F240=0),"",$L240/$F240)</f>
        <v/>
      </c>
      <c r="N240" s="14"/>
      <c r="O240" s="14"/>
      <c r="P240" s="14"/>
      <c r="Q240" s="14"/>
    </row>
    <row r="241" customFormat="false" ht="15" hidden="false" customHeight="false" outlineLevel="0" collapsed="false">
      <c r="A241" s="16"/>
      <c r="B241" s="14"/>
      <c r="C241" s="14" t="str">
        <f aca="false">IFERROR(IF($B241="","",INDEX(Inventory!$B$3:$B$253,MATCH($B241,Inventory!$A$3:$A$253,0))),"")</f>
        <v/>
      </c>
      <c r="D241" s="15"/>
      <c r="E241" s="11"/>
      <c r="F241" s="11" t="str">
        <f aca="false">IF($D241="","",$D241*$E241)</f>
        <v/>
      </c>
      <c r="G241" s="11" t="str">
        <f aca="false">IFERROR(IF($B241="","",INDEX(Inventory!$G$3:$G$253,MATCH($B241,Inventory!$A$3:$A$253,0))),"")</f>
        <v/>
      </c>
      <c r="H241" s="11" t="str">
        <f aca="false">IF($D241="","",$D241*IFERROR($G241+0,0))</f>
        <v/>
      </c>
      <c r="I241" s="11"/>
      <c r="J241" s="11"/>
      <c r="K241" s="11" t="str">
        <f aca="false">IF($F241="","",$F241-$I241-$J241)</f>
        <v/>
      </c>
      <c r="L241" s="11" t="str">
        <f aca="false">IF($K241="","",$K241-$H241)</f>
        <v/>
      </c>
      <c r="M241" s="12" t="str">
        <f aca="false">IF(OR($F241="",$F241=0),"",$L241/$F241)</f>
        <v/>
      </c>
      <c r="N241" s="14"/>
      <c r="O241" s="14"/>
      <c r="P241" s="14"/>
      <c r="Q241" s="14"/>
    </row>
    <row r="242" customFormat="false" ht="15" hidden="false" customHeight="false" outlineLevel="0" collapsed="false">
      <c r="A242" s="16"/>
      <c r="B242" s="14"/>
      <c r="C242" s="14" t="str">
        <f aca="false">IFERROR(IF($B242="","",INDEX(Inventory!$B$3:$B$253,MATCH($B242,Inventory!$A$3:$A$253,0))),"")</f>
        <v/>
      </c>
      <c r="D242" s="15"/>
      <c r="E242" s="11"/>
      <c r="F242" s="11" t="str">
        <f aca="false">IF($D242="","",$D242*$E242)</f>
        <v/>
      </c>
      <c r="G242" s="11" t="str">
        <f aca="false">IFERROR(IF($B242="","",INDEX(Inventory!$G$3:$G$253,MATCH($B242,Inventory!$A$3:$A$253,0))),"")</f>
        <v/>
      </c>
      <c r="H242" s="11" t="str">
        <f aca="false">IF($D242="","",$D242*IFERROR($G242+0,0))</f>
        <v/>
      </c>
      <c r="I242" s="11"/>
      <c r="J242" s="11"/>
      <c r="K242" s="11" t="str">
        <f aca="false">IF($F242="","",$F242-$I242-$J242)</f>
        <v/>
      </c>
      <c r="L242" s="11" t="str">
        <f aca="false">IF($K242="","",$K242-$H242)</f>
        <v/>
      </c>
      <c r="M242" s="12" t="str">
        <f aca="false">IF(OR($F242="",$F242=0),"",$L242/$F242)</f>
        <v/>
      </c>
      <c r="N242" s="14"/>
      <c r="O242" s="14"/>
      <c r="P242" s="14"/>
      <c r="Q242" s="14"/>
    </row>
    <row r="243" customFormat="false" ht="15" hidden="false" customHeight="false" outlineLevel="0" collapsed="false">
      <c r="A243" s="16"/>
      <c r="B243" s="14"/>
      <c r="C243" s="14" t="str">
        <f aca="false">IFERROR(IF($B243="","",INDEX(Inventory!$B$3:$B$253,MATCH($B243,Inventory!$A$3:$A$253,0))),"")</f>
        <v/>
      </c>
      <c r="D243" s="15"/>
      <c r="E243" s="11"/>
      <c r="F243" s="11" t="str">
        <f aca="false">IF($D243="","",$D243*$E243)</f>
        <v/>
      </c>
      <c r="G243" s="11" t="str">
        <f aca="false">IFERROR(IF($B243="","",INDEX(Inventory!$G$3:$G$253,MATCH($B243,Inventory!$A$3:$A$253,0))),"")</f>
        <v/>
      </c>
      <c r="H243" s="11" t="str">
        <f aca="false">IF($D243="","",$D243*IFERROR($G243+0,0))</f>
        <v/>
      </c>
      <c r="I243" s="11"/>
      <c r="J243" s="11"/>
      <c r="K243" s="11" t="str">
        <f aca="false">IF($F243="","",$F243-$I243-$J243)</f>
        <v/>
      </c>
      <c r="L243" s="11" t="str">
        <f aca="false">IF($K243="","",$K243-$H243)</f>
        <v/>
      </c>
      <c r="M243" s="12" t="str">
        <f aca="false">IF(OR($F243="",$F243=0),"",$L243/$F243)</f>
        <v/>
      </c>
      <c r="N243" s="14"/>
      <c r="O243" s="14"/>
      <c r="P243" s="14"/>
      <c r="Q243" s="14"/>
    </row>
    <row r="244" customFormat="false" ht="15" hidden="false" customHeight="false" outlineLevel="0" collapsed="false">
      <c r="A244" s="16"/>
      <c r="B244" s="14"/>
      <c r="C244" s="14" t="str">
        <f aca="false">IFERROR(IF($B244="","",INDEX(Inventory!$B$3:$B$253,MATCH($B244,Inventory!$A$3:$A$253,0))),"")</f>
        <v/>
      </c>
      <c r="D244" s="15"/>
      <c r="E244" s="11"/>
      <c r="F244" s="11" t="str">
        <f aca="false">IF($D244="","",$D244*$E244)</f>
        <v/>
      </c>
      <c r="G244" s="11" t="str">
        <f aca="false">IFERROR(IF($B244="","",INDEX(Inventory!$G$3:$G$253,MATCH($B244,Inventory!$A$3:$A$253,0))),"")</f>
        <v/>
      </c>
      <c r="H244" s="11" t="str">
        <f aca="false">IF($D244="","",$D244*IFERROR($G244+0,0))</f>
        <v/>
      </c>
      <c r="I244" s="11"/>
      <c r="J244" s="11"/>
      <c r="K244" s="11" t="str">
        <f aca="false">IF($F244="","",$F244-$I244-$J244)</f>
        <v/>
      </c>
      <c r="L244" s="11" t="str">
        <f aca="false">IF($K244="","",$K244-$H244)</f>
        <v/>
      </c>
      <c r="M244" s="12" t="str">
        <f aca="false">IF(OR($F244="",$F244=0),"",$L244/$F244)</f>
        <v/>
      </c>
      <c r="N244" s="14"/>
      <c r="O244" s="14"/>
      <c r="P244" s="14"/>
      <c r="Q244" s="14"/>
    </row>
    <row r="245" customFormat="false" ht="15" hidden="false" customHeight="false" outlineLevel="0" collapsed="false">
      <c r="A245" s="16"/>
      <c r="B245" s="14"/>
      <c r="C245" s="14" t="str">
        <f aca="false">IFERROR(IF($B245="","",INDEX(Inventory!$B$3:$B$253,MATCH($B245,Inventory!$A$3:$A$253,0))),"")</f>
        <v/>
      </c>
      <c r="D245" s="15"/>
      <c r="E245" s="11"/>
      <c r="F245" s="11" t="str">
        <f aca="false">IF($D245="","",$D245*$E245)</f>
        <v/>
      </c>
      <c r="G245" s="11" t="str">
        <f aca="false">IFERROR(IF($B245="","",INDEX(Inventory!$G$3:$G$253,MATCH($B245,Inventory!$A$3:$A$253,0))),"")</f>
        <v/>
      </c>
      <c r="H245" s="11" t="str">
        <f aca="false">IF($D245="","",$D245*IFERROR($G245+0,0))</f>
        <v/>
      </c>
      <c r="I245" s="11"/>
      <c r="J245" s="11"/>
      <c r="K245" s="11" t="str">
        <f aca="false">IF($F245="","",$F245-$I245-$J245)</f>
        <v/>
      </c>
      <c r="L245" s="11" t="str">
        <f aca="false">IF($K245="","",$K245-$H245)</f>
        <v/>
      </c>
      <c r="M245" s="12" t="str">
        <f aca="false">IF(OR($F245="",$F245=0),"",$L245/$F245)</f>
        <v/>
      </c>
      <c r="N245" s="14"/>
      <c r="O245" s="14"/>
      <c r="P245" s="14"/>
      <c r="Q245" s="14"/>
    </row>
    <row r="246" customFormat="false" ht="15" hidden="false" customHeight="false" outlineLevel="0" collapsed="false">
      <c r="A246" s="16"/>
      <c r="B246" s="14"/>
      <c r="C246" s="14" t="str">
        <f aca="false">IFERROR(IF($B246="","",INDEX(Inventory!$B$3:$B$253,MATCH($B246,Inventory!$A$3:$A$253,0))),"")</f>
        <v/>
      </c>
      <c r="D246" s="15"/>
      <c r="E246" s="11"/>
      <c r="F246" s="11" t="str">
        <f aca="false">IF($D246="","",$D246*$E246)</f>
        <v/>
      </c>
      <c r="G246" s="11" t="str">
        <f aca="false">IFERROR(IF($B246="","",INDEX(Inventory!$G$3:$G$253,MATCH($B246,Inventory!$A$3:$A$253,0))),"")</f>
        <v/>
      </c>
      <c r="H246" s="11" t="str">
        <f aca="false">IF($D246="","",$D246*IFERROR($G246+0,0))</f>
        <v/>
      </c>
      <c r="I246" s="11"/>
      <c r="J246" s="11"/>
      <c r="K246" s="11" t="str">
        <f aca="false">IF($F246="","",$F246-$I246-$J246)</f>
        <v/>
      </c>
      <c r="L246" s="11" t="str">
        <f aca="false">IF($K246="","",$K246-$H246)</f>
        <v/>
      </c>
      <c r="M246" s="12" t="str">
        <f aca="false">IF(OR($F246="",$F246=0),"",$L246/$F246)</f>
        <v/>
      </c>
      <c r="N246" s="14"/>
      <c r="O246" s="14"/>
      <c r="P246" s="14"/>
      <c r="Q246" s="14"/>
    </row>
    <row r="247" customFormat="false" ht="15" hidden="false" customHeight="false" outlineLevel="0" collapsed="false">
      <c r="A247" s="16"/>
      <c r="B247" s="14"/>
      <c r="C247" s="14" t="str">
        <f aca="false">IFERROR(IF($B247="","",INDEX(Inventory!$B$3:$B$253,MATCH($B247,Inventory!$A$3:$A$253,0))),"")</f>
        <v/>
      </c>
      <c r="D247" s="15"/>
      <c r="E247" s="11"/>
      <c r="F247" s="11" t="str">
        <f aca="false">IF($D247="","",$D247*$E247)</f>
        <v/>
      </c>
      <c r="G247" s="11" t="str">
        <f aca="false">IFERROR(IF($B247="","",INDEX(Inventory!$G$3:$G$253,MATCH($B247,Inventory!$A$3:$A$253,0))),"")</f>
        <v/>
      </c>
      <c r="H247" s="11" t="str">
        <f aca="false">IF($D247="","",$D247*IFERROR($G247+0,0))</f>
        <v/>
      </c>
      <c r="I247" s="11"/>
      <c r="J247" s="11"/>
      <c r="K247" s="11" t="str">
        <f aca="false">IF($F247="","",$F247-$I247-$J247)</f>
        <v/>
      </c>
      <c r="L247" s="11" t="str">
        <f aca="false">IF($K247="","",$K247-$H247)</f>
        <v/>
      </c>
      <c r="M247" s="12" t="str">
        <f aca="false">IF(OR($F247="",$F247=0),"",$L247/$F247)</f>
        <v/>
      </c>
      <c r="N247" s="14"/>
      <c r="O247" s="14"/>
      <c r="P247" s="14"/>
      <c r="Q247" s="14"/>
    </row>
    <row r="248" customFormat="false" ht="15" hidden="false" customHeight="false" outlineLevel="0" collapsed="false">
      <c r="A248" s="16"/>
      <c r="B248" s="14"/>
      <c r="C248" s="14" t="str">
        <f aca="false">IFERROR(IF($B248="","",INDEX(Inventory!$B$3:$B$253,MATCH($B248,Inventory!$A$3:$A$253,0))),"")</f>
        <v/>
      </c>
      <c r="D248" s="15"/>
      <c r="E248" s="11"/>
      <c r="F248" s="11" t="str">
        <f aca="false">IF($D248="","",$D248*$E248)</f>
        <v/>
      </c>
      <c r="G248" s="11" t="str">
        <f aca="false">IFERROR(IF($B248="","",INDEX(Inventory!$G$3:$G$253,MATCH($B248,Inventory!$A$3:$A$253,0))),"")</f>
        <v/>
      </c>
      <c r="H248" s="11" t="str">
        <f aca="false">IF($D248="","",$D248*IFERROR($G248+0,0))</f>
        <v/>
      </c>
      <c r="I248" s="11"/>
      <c r="J248" s="11"/>
      <c r="K248" s="11" t="str">
        <f aca="false">IF($F248="","",$F248-$I248-$J248)</f>
        <v/>
      </c>
      <c r="L248" s="11" t="str">
        <f aca="false">IF($K248="","",$K248-$H248)</f>
        <v/>
      </c>
      <c r="M248" s="12" t="str">
        <f aca="false">IF(OR($F248="",$F248=0),"",$L248/$F248)</f>
        <v/>
      </c>
      <c r="N248" s="14"/>
      <c r="O248" s="14"/>
      <c r="P248" s="14"/>
      <c r="Q248" s="14"/>
    </row>
    <row r="249" customFormat="false" ht="15" hidden="false" customHeight="false" outlineLevel="0" collapsed="false">
      <c r="A249" s="16"/>
      <c r="B249" s="14"/>
      <c r="C249" s="14" t="str">
        <f aca="false">IFERROR(IF($B249="","",INDEX(Inventory!$B$3:$B$253,MATCH($B249,Inventory!$A$3:$A$253,0))),"")</f>
        <v/>
      </c>
      <c r="D249" s="15"/>
      <c r="E249" s="11"/>
      <c r="F249" s="11" t="str">
        <f aca="false">IF($D249="","",$D249*$E249)</f>
        <v/>
      </c>
      <c r="G249" s="11" t="str">
        <f aca="false">IFERROR(IF($B249="","",INDEX(Inventory!$G$3:$G$253,MATCH($B249,Inventory!$A$3:$A$253,0))),"")</f>
        <v/>
      </c>
      <c r="H249" s="11" t="str">
        <f aca="false">IF($D249="","",$D249*IFERROR($G249+0,0))</f>
        <v/>
      </c>
      <c r="I249" s="11"/>
      <c r="J249" s="11"/>
      <c r="K249" s="11" t="str">
        <f aca="false">IF($F249="","",$F249-$I249-$J249)</f>
        <v/>
      </c>
      <c r="L249" s="11" t="str">
        <f aca="false">IF($K249="","",$K249-$H249)</f>
        <v/>
      </c>
      <c r="M249" s="12" t="str">
        <f aca="false">IF(OR($F249="",$F249=0),"",$L249/$F249)</f>
        <v/>
      </c>
      <c r="N249" s="14"/>
      <c r="O249" s="14"/>
      <c r="P249" s="14"/>
      <c r="Q249" s="14"/>
    </row>
    <row r="250" customFormat="false" ht="15" hidden="false" customHeight="false" outlineLevel="0" collapsed="false">
      <c r="A250" s="16"/>
      <c r="B250" s="14"/>
      <c r="C250" s="14" t="str">
        <f aca="false">IFERROR(IF($B250="","",INDEX(Inventory!$B$3:$B$253,MATCH($B250,Inventory!$A$3:$A$253,0))),"")</f>
        <v/>
      </c>
      <c r="D250" s="15"/>
      <c r="E250" s="11"/>
      <c r="F250" s="11" t="str">
        <f aca="false">IF($D250="","",$D250*$E250)</f>
        <v/>
      </c>
      <c r="G250" s="11" t="str">
        <f aca="false">IFERROR(IF($B250="","",INDEX(Inventory!$G$3:$G$253,MATCH($B250,Inventory!$A$3:$A$253,0))),"")</f>
        <v/>
      </c>
      <c r="H250" s="11" t="str">
        <f aca="false">IF($D250="","",$D250*IFERROR($G250+0,0))</f>
        <v/>
      </c>
      <c r="I250" s="11"/>
      <c r="J250" s="11"/>
      <c r="K250" s="11" t="str">
        <f aca="false">IF($F250="","",$F250-$I250-$J250)</f>
        <v/>
      </c>
      <c r="L250" s="11" t="str">
        <f aca="false">IF($K250="","",$K250-$H250)</f>
        <v/>
      </c>
      <c r="M250" s="12" t="str">
        <f aca="false">IF(OR($F250="",$F250=0),"",$L250/$F250)</f>
        <v/>
      </c>
      <c r="N250" s="14"/>
      <c r="O250" s="14"/>
      <c r="P250" s="14"/>
      <c r="Q250" s="14"/>
    </row>
    <row r="251" customFormat="false" ht="15" hidden="false" customHeight="false" outlineLevel="0" collapsed="false">
      <c r="A251" s="16"/>
      <c r="B251" s="14"/>
      <c r="C251" s="14" t="str">
        <f aca="false">IFERROR(IF($B251="","",INDEX(Inventory!$B$3:$B$253,MATCH($B251,Inventory!$A$3:$A$253,0))),"")</f>
        <v/>
      </c>
      <c r="D251" s="15"/>
      <c r="E251" s="11"/>
      <c r="F251" s="11" t="str">
        <f aca="false">IF($D251="","",$D251*$E251)</f>
        <v/>
      </c>
      <c r="G251" s="11" t="str">
        <f aca="false">IFERROR(IF($B251="","",INDEX(Inventory!$G$3:$G$253,MATCH($B251,Inventory!$A$3:$A$253,0))),"")</f>
        <v/>
      </c>
      <c r="H251" s="11" t="str">
        <f aca="false">IF($D251="","",$D251*IFERROR($G251+0,0))</f>
        <v/>
      </c>
      <c r="I251" s="11"/>
      <c r="J251" s="11"/>
      <c r="K251" s="11" t="str">
        <f aca="false">IF($F251="","",$F251-$I251-$J251)</f>
        <v/>
      </c>
      <c r="L251" s="11" t="str">
        <f aca="false">IF($K251="","",$K251-$H251)</f>
        <v/>
      </c>
      <c r="M251" s="12" t="str">
        <f aca="false">IF(OR($F251="",$F251=0),"",$L251/$F251)</f>
        <v/>
      </c>
      <c r="N251" s="14"/>
      <c r="O251" s="14"/>
      <c r="P251" s="14"/>
      <c r="Q251" s="14"/>
    </row>
    <row r="252" customFormat="false" ht="15" hidden="false" customHeight="false" outlineLevel="0" collapsed="false">
      <c r="A252" s="16"/>
      <c r="B252" s="14"/>
      <c r="C252" s="14" t="str">
        <f aca="false">IFERROR(IF($B252="","",INDEX(Inventory!$B$3:$B$253,MATCH($B252,Inventory!$A$3:$A$253,0))),"")</f>
        <v/>
      </c>
      <c r="D252" s="15"/>
      <c r="E252" s="11"/>
      <c r="F252" s="11" t="str">
        <f aca="false">IF($D252="","",$D252*$E252)</f>
        <v/>
      </c>
      <c r="G252" s="11" t="str">
        <f aca="false">IFERROR(IF($B252="","",INDEX(Inventory!$G$3:$G$253,MATCH($B252,Inventory!$A$3:$A$253,0))),"")</f>
        <v/>
      </c>
      <c r="H252" s="11" t="str">
        <f aca="false">IF($D252="","",$D252*IFERROR($G252+0,0))</f>
        <v/>
      </c>
      <c r="I252" s="11"/>
      <c r="J252" s="11"/>
      <c r="K252" s="11" t="str">
        <f aca="false">IF($F252="","",$F252-$I252-$J252)</f>
        <v/>
      </c>
      <c r="L252" s="11" t="str">
        <f aca="false">IF($K252="","",$K252-$H252)</f>
        <v/>
      </c>
      <c r="M252" s="12" t="str">
        <f aca="false">IF(OR($F252="",$F252=0),"",$L252/$F252)</f>
        <v/>
      </c>
      <c r="N252" s="14"/>
      <c r="O252" s="14"/>
      <c r="P252" s="14"/>
      <c r="Q252" s="14"/>
    </row>
    <row r="253" customFormat="false" ht="15" hidden="false" customHeight="false" outlineLevel="0" collapsed="false">
      <c r="A253" s="16"/>
      <c r="B253" s="14"/>
      <c r="C253" s="14" t="str">
        <f aca="false">IFERROR(IF($B253="","",INDEX(Inventory!$B$3:$B$253,MATCH($B253,Inventory!$A$3:$A$253,0))),"")</f>
        <v/>
      </c>
      <c r="D253" s="15"/>
      <c r="E253" s="11"/>
      <c r="F253" s="11" t="str">
        <f aca="false">IF($D253="","",$D253*$E253)</f>
        <v/>
      </c>
      <c r="G253" s="11" t="str">
        <f aca="false">IFERROR(IF($B253="","",INDEX(Inventory!$G$3:$G$253,MATCH($B253,Inventory!$A$3:$A$253,0))),"")</f>
        <v/>
      </c>
      <c r="H253" s="11" t="str">
        <f aca="false">IF($D253="","",$D253*IFERROR($G253+0,0))</f>
        <v/>
      </c>
      <c r="I253" s="11"/>
      <c r="J253" s="11"/>
      <c r="K253" s="11" t="str">
        <f aca="false">IF($F253="","",$F253-$I253-$J253)</f>
        <v/>
      </c>
      <c r="L253" s="11" t="str">
        <f aca="false">IF($K253="","",$K253-$H253)</f>
        <v/>
      </c>
      <c r="M253" s="12" t="str">
        <f aca="false">IF(OR($F253="",$F253=0),"",$L253/$F253)</f>
        <v/>
      </c>
      <c r="N253" s="14"/>
      <c r="O253" s="14"/>
      <c r="P253" s="14"/>
      <c r="Q253" s="14"/>
    </row>
    <row r="254" customFormat="false" ht="15" hidden="false" customHeight="false" outlineLevel="0" collapsed="false">
      <c r="A254" s="16"/>
      <c r="B254" s="14"/>
      <c r="C254" s="14" t="str">
        <f aca="false">IFERROR(IF($B254="","",INDEX(Inventory!$B$3:$B$253,MATCH($B254,Inventory!$A$3:$A$253,0))),"")</f>
        <v/>
      </c>
      <c r="D254" s="15"/>
      <c r="E254" s="11"/>
      <c r="F254" s="11" t="str">
        <f aca="false">IF($D254="","",$D254*$E254)</f>
        <v/>
      </c>
      <c r="G254" s="11" t="str">
        <f aca="false">IFERROR(IF($B254="","",INDEX(Inventory!$G$3:$G$253,MATCH($B254,Inventory!$A$3:$A$253,0))),"")</f>
        <v/>
      </c>
      <c r="H254" s="11" t="str">
        <f aca="false">IF($D254="","",$D254*IFERROR($G254+0,0))</f>
        <v/>
      </c>
      <c r="I254" s="11"/>
      <c r="J254" s="11"/>
      <c r="K254" s="11" t="str">
        <f aca="false">IF($F254="","",$F254-$I254-$J254)</f>
        <v/>
      </c>
      <c r="L254" s="11" t="str">
        <f aca="false">IF($K254="","",$K254-$H254)</f>
        <v/>
      </c>
      <c r="M254" s="12" t="str">
        <f aca="false">IF(OR($F254="",$F254=0),"",$L254/$F254)</f>
        <v/>
      </c>
      <c r="N254" s="14"/>
      <c r="O254" s="14"/>
      <c r="P254" s="14"/>
      <c r="Q254" s="14"/>
    </row>
    <row r="255" customFormat="false" ht="15" hidden="false" customHeight="false" outlineLevel="0" collapsed="false">
      <c r="A255" s="16"/>
      <c r="B255" s="14"/>
      <c r="C255" s="14" t="str">
        <f aca="false">IFERROR(IF($B255="","",INDEX(Inventory!$B$3:$B$253,MATCH($B255,Inventory!$A$3:$A$253,0))),"")</f>
        <v/>
      </c>
      <c r="D255" s="15"/>
      <c r="E255" s="11"/>
      <c r="F255" s="11" t="str">
        <f aca="false">IF($D255="","",$D255*$E255)</f>
        <v/>
      </c>
      <c r="G255" s="11" t="str">
        <f aca="false">IFERROR(IF($B255="","",INDEX(Inventory!$G$3:$G$253,MATCH($B255,Inventory!$A$3:$A$253,0))),"")</f>
        <v/>
      </c>
      <c r="H255" s="11" t="str">
        <f aca="false">IF($D255="","",$D255*IFERROR($G255+0,0))</f>
        <v/>
      </c>
      <c r="I255" s="11"/>
      <c r="J255" s="11"/>
      <c r="K255" s="11" t="str">
        <f aca="false">IF($F255="","",$F255-$I255-$J255)</f>
        <v/>
      </c>
      <c r="L255" s="11" t="str">
        <f aca="false">IF($K255="","",$K255-$H255)</f>
        <v/>
      </c>
      <c r="M255" s="12" t="str">
        <f aca="false">IF(OR($F255="",$F255=0),"",$L255/$F255)</f>
        <v/>
      </c>
      <c r="N255" s="14"/>
      <c r="O255" s="14"/>
      <c r="P255" s="14"/>
      <c r="Q255" s="14"/>
    </row>
    <row r="256" customFormat="false" ht="15" hidden="false" customHeight="false" outlineLevel="0" collapsed="false">
      <c r="A256" s="16"/>
      <c r="B256" s="14"/>
      <c r="C256" s="14" t="str">
        <f aca="false">IFERROR(IF($B256="","",INDEX(Inventory!$B$3:$B$253,MATCH($B256,Inventory!$A$3:$A$253,0))),"")</f>
        <v/>
      </c>
      <c r="D256" s="15"/>
      <c r="E256" s="11"/>
      <c r="F256" s="11" t="str">
        <f aca="false">IF($D256="","",$D256*$E256)</f>
        <v/>
      </c>
      <c r="G256" s="11" t="str">
        <f aca="false">IFERROR(IF($B256="","",INDEX(Inventory!$G$3:$G$253,MATCH($B256,Inventory!$A$3:$A$253,0))),"")</f>
        <v/>
      </c>
      <c r="H256" s="11" t="str">
        <f aca="false">IF($D256="","",$D256*IFERROR($G256+0,0))</f>
        <v/>
      </c>
      <c r="I256" s="11"/>
      <c r="J256" s="11"/>
      <c r="K256" s="11" t="str">
        <f aca="false">IF($F256="","",$F256-$I256-$J256)</f>
        <v/>
      </c>
      <c r="L256" s="11" t="str">
        <f aca="false">IF($K256="","",$K256-$H256)</f>
        <v/>
      </c>
      <c r="M256" s="12" t="str">
        <f aca="false">IF(OR($F256="",$F256=0),"",$L256/$F256)</f>
        <v/>
      </c>
      <c r="N256" s="14"/>
      <c r="O256" s="14"/>
      <c r="P256" s="14"/>
      <c r="Q256" s="14"/>
    </row>
    <row r="257" customFormat="false" ht="15" hidden="false" customHeight="false" outlineLevel="0" collapsed="false">
      <c r="A257" s="16"/>
      <c r="B257" s="14"/>
      <c r="C257" s="14" t="str">
        <f aca="false">IFERROR(IF($B257="","",INDEX(Inventory!$B$3:$B$253,MATCH($B257,Inventory!$A$3:$A$253,0))),"")</f>
        <v/>
      </c>
      <c r="D257" s="15"/>
      <c r="E257" s="11"/>
      <c r="F257" s="11" t="str">
        <f aca="false">IF($D257="","",$D257*$E257)</f>
        <v/>
      </c>
      <c r="G257" s="11" t="str">
        <f aca="false">IFERROR(IF($B257="","",INDEX(Inventory!$G$3:$G$253,MATCH($B257,Inventory!$A$3:$A$253,0))),"")</f>
        <v/>
      </c>
      <c r="H257" s="11" t="str">
        <f aca="false">IF($D257="","",$D257*IFERROR($G257+0,0))</f>
        <v/>
      </c>
      <c r="I257" s="11"/>
      <c r="J257" s="11"/>
      <c r="K257" s="11" t="str">
        <f aca="false">IF($F257="","",$F257-$I257-$J257)</f>
        <v/>
      </c>
      <c r="L257" s="11" t="str">
        <f aca="false">IF($K257="","",$K257-$H257)</f>
        <v/>
      </c>
      <c r="M257" s="12" t="str">
        <f aca="false">IF(OR($F257="",$F257=0),"",$L257/$F257)</f>
        <v/>
      </c>
      <c r="N257" s="14"/>
      <c r="O257" s="14"/>
      <c r="P257" s="14"/>
      <c r="Q257" s="14"/>
    </row>
    <row r="258" customFormat="false" ht="15" hidden="false" customHeight="false" outlineLevel="0" collapsed="false">
      <c r="A258" s="16"/>
      <c r="B258" s="14"/>
      <c r="C258" s="14" t="str">
        <f aca="false">IFERROR(IF($B258="","",INDEX(Inventory!$B$3:$B$253,MATCH($B258,Inventory!$A$3:$A$253,0))),"")</f>
        <v/>
      </c>
      <c r="D258" s="15"/>
      <c r="E258" s="11"/>
      <c r="F258" s="11" t="str">
        <f aca="false">IF($D258="","",$D258*$E258)</f>
        <v/>
      </c>
      <c r="G258" s="11" t="str">
        <f aca="false">IFERROR(IF($B258="","",INDEX(Inventory!$G$3:$G$253,MATCH($B258,Inventory!$A$3:$A$253,0))),"")</f>
        <v/>
      </c>
      <c r="H258" s="11" t="str">
        <f aca="false">IF($D258="","",$D258*IFERROR($G258+0,0))</f>
        <v/>
      </c>
      <c r="I258" s="11"/>
      <c r="J258" s="11"/>
      <c r="K258" s="11" t="str">
        <f aca="false">IF($F258="","",$F258-$I258-$J258)</f>
        <v/>
      </c>
      <c r="L258" s="11" t="str">
        <f aca="false">IF($K258="","",$K258-$H258)</f>
        <v/>
      </c>
      <c r="M258" s="12" t="str">
        <f aca="false">IF(OR($F258="",$F258=0),"",$L258/$F258)</f>
        <v/>
      </c>
      <c r="N258" s="14"/>
      <c r="O258" s="14"/>
      <c r="P258" s="14"/>
      <c r="Q258" s="14"/>
    </row>
    <row r="259" customFormat="false" ht="15" hidden="false" customHeight="false" outlineLevel="0" collapsed="false">
      <c r="A259" s="16"/>
      <c r="B259" s="14"/>
      <c r="C259" s="14" t="str">
        <f aca="false">IFERROR(IF($B259="","",INDEX(Inventory!$B$3:$B$253,MATCH($B259,Inventory!$A$3:$A$253,0))),"")</f>
        <v/>
      </c>
      <c r="D259" s="15"/>
      <c r="E259" s="11"/>
      <c r="F259" s="11" t="str">
        <f aca="false">IF($D259="","",$D259*$E259)</f>
        <v/>
      </c>
      <c r="G259" s="11" t="str">
        <f aca="false">IFERROR(IF($B259="","",INDEX(Inventory!$G$3:$G$253,MATCH($B259,Inventory!$A$3:$A$253,0))),"")</f>
        <v/>
      </c>
      <c r="H259" s="11" t="str">
        <f aca="false">IF($D259="","",$D259*IFERROR($G259+0,0))</f>
        <v/>
      </c>
      <c r="I259" s="11"/>
      <c r="J259" s="11"/>
      <c r="K259" s="11" t="str">
        <f aca="false">IF($F259="","",$F259-$I259-$J259)</f>
        <v/>
      </c>
      <c r="L259" s="11" t="str">
        <f aca="false">IF($K259="","",$K259-$H259)</f>
        <v/>
      </c>
      <c r="M259" s="12" t="str">
        <f aca="false">IF(OR($F259="",$F259=0),"",$L259/$F259)</f>
        <v/>
      </c>
      <c r="N259" s="14"/>
      <c r="O259" s="14"/>
      <c r="P259" s="14"/>
      <c r="Q259" s="14"/>
    </row>
    <row r="260" customFormat="false" ht="15" hidden="false" customHeight="false" outlineLevel="0" collapsed="false">
      <c r="A260" s="16"/>
      <c r="B260" s="14"/>
      <c r="C260" s="14" t="str">
        <f aca="false">IFERROR(IF($B260="","",INDEX(Inventory!$B$3:$B$253,MATCH($B260,Inventory!$A$3:$A$253,0))),"")</f>
        <v/>
      </c>
      <c r="D260" s="15"/>
      <c r="E260" s="11"/>
      <c r="F260" s="11" t="str">
        <f aca="false">IF($D260="","",$D260*$E260)</f>
        <v/>
      </c>
      <c r="G260" s="11" t="str">
        <f aca="false">IFERROR(IF($B260="","",INDEX(Inventory!$G$3:$G$253,MATCH($B260,Inventory!$A$3:$A$253,0))),"")</f>
        <v/>
      </c>
      <c r="H260" s="11" t="str">
        <f aca="false">IF($D260="","",$D260*IFERROR($G260+0,0))</f>
        <v/>
      </c>
      <c r="I260" s="11"/>
      <c r="J260" s="11"/>
      <c r="K260" s="11" t="str">
        <f aca="false">IF($F260="","",$F260-$I260-$J260)</f>
        <v/>
      </c>
      <c r="L260" s="11" t="str">
        <f aca="false">IF($K260="","",$K260-$H260)</f>
        <v/>
      </c>
      <c r="M260" s="12" t="str">
        <f aca="false">IF(OR($F260="",$F260=0),"",$L260/$F260)</f>
        <v/>
      </c>
      <c r="N260" s="14"/>
      <c r="O260" s="14"/>
      <c r="P260" s="14"/>
      <c r="Q260" s="14"/>
    </row>
    <row r="261" customFormat="false" ht="15" hidden="false" customHeight="false" outlineLevel="0" collapsed="false">
      <c r="A261" s="16"/>
      <c r="B261" s="14"/>
      <c r="C261" s="14" t="str">
        <f aca="false">IFERROR(IF($B261="","",INDEX(Inventory!$B$3:$B$253,MATCH($B261,Inventory!$A$3:$A$253,0))),"")</f>
        <v/>
      </c>
      <c r="D261" s="15"/>
      <c r="E261" s="11"/>
      <c r="F261" s="11" t="str">
        <f aca="false">IF($D261="","",$D261*$E261)</f>
        <v/>
      </c>
      <c r="G261" s="11" t="str">
        <f aca="false">IFERROR(IF($B261="","",INDEX(Inventory!$G$3:$G$253,MATCH($B261,Inventory!$A$3:$A$253,0))),"")</f>
        <v/>
      </c>
      <c r="H261" s="11" t="str">
        <f aca="false">IF($D261="","",$D261*IFERROR($G261+0,0))</f>
        <v/>
      </c>
      <c r="I261" s="11"/>
      <c r="J261" s="11"/>
      <c r="K261" s="11" t="str">
        <f aca="false">IF($F261="","",$F261-$I261-$J261)</f>
        <v/>
      </c>
      <c r="L261" s="11" t="str">
        <f aca="false">IF($K261="","",$K261-$H261)</f>
        <v/>
      </c>
      <c r="M261" s="12" t="str">
        <f aca="false">IF(OR($F261="",$F261=0),"",$L261/$F261)</f>
        <v/>
      </c>
      <c r="N261" s="14"/>
      <c r="O261" s="14"/>
      <c r="P261" s="14"/>
      <c r="Q261" s="14"/>
    </row>
    <row r="262" customFormat="false" ht="15" hidden="false" customHeight="false" outlineLevel="0" collapsed="false">
      <c r="A262" s="16"/>
      <c r="B262" s="14"/>
      <c r="C262" s="14" t="str">
        <f aca="false">IFERROR(IF($B262="","",INDEX(Inventory!$B$3:$B$253,MATCH($B262,Inventory!$A$3:$A$253,0))),"")</f>
        <v/>
      </c>
      <c r="D262" s="15"/>
      <c r="E262" s="11"/>
      <c r="F262" s="11" t="str">
        <f aca="false">IF($D262="","",$D262*$E262)</f>
        <v/>
      </c>
      <c r="G262" s="11" t="str">
        <f aca="false">IFERROR(IF($B262="","",INDEX(Inventory!$G$3:$G$253,MATCH($B262,Inventory!$A$3:$A$253,0))),"")</f>
        <v/>
      </c>
      <c r="H262" s="11" t="str">
        <f aca="false">IF($D262="","",$D262*IFERROR($G262+0,0))</f>
        <v/>
      </c>
      <c r="I262" s="11"/>
      <c r="J262" s="11"/>
      <c r="K262" s="11" t="str">
        <f aca="false">IF($F262="","",$F262-$I262-$J262)</f>
        <v/>
      </c>
      <c r="L262" s="11" t="str">
        <f aca="false">IF($K262="","",$K262-$H262)</f>
        <v/>
      </c>
      <c r="M262" s="12" t="str">
        <f aca="false">IF(OR($F262="",$F262=0),"",$L262/$F262)</f>
        <v/>
      </c>
      <c r="N262" s="14"/>
      <c r="O262" s="14"/>
      <c r="P262" s="14"/>
      <c r="Q262" s="14"/>
    </row>
    <row r="263" customFormat="false" ht="15" hidden="false" customHeight="false" outlineLevel="0" collapsed="false">
      <c r="A263" s="16"/>
      <c r="B263" s="14"/>
      <c r="C263" s="14" t="str">
        <f aca="false">IFERROR(IF($B263="","",INDEX(Inventory!$B$3:$B$253,MATCH($B263,Inventory!$A$3:$A$253,0))),"")</f>
        <v/>
      </c>
      <c r="D263" s="15"/>
      <c r="E263" s="11"/>
      <c r="F263" s="11" t="str">
        <f aca="false">IF($D263="","",$D263*$E263)</f>
        <v/>
      </c>
      <c r="G263" s="11" t="str">
        <f aca="false">IFERROR(IF($B263="","",INDEX(Inventory!$G$3:$G$253,MATCH($B263,Inventory!$A$3:$A$253,0))),"")</f>
        <v/>
      </c>
      <c r="H263" s="11" t="str">
        <f aca="false">IF($D263="","",$D263*IFERROR($G263+0,0))</f>
        <v/>
      </c>
      <c r="I263" s="11"/>
      <c r="J263" s="11"/>
      <c r="K263" s="11" t="str">
        <f aca="false">IF($F263="","",$F263-$I263-$J263)</f>
        <v/>
      </c>
      <c r="L263" s="11" t="str">
        <f aca="false">IF($K263="","",$K263-$H263)</f>
        <v/>
      </c>
      <c r="M263" s="12" t="str">
        <f aca="false">IF(OR($F263="",$F263=0),"",$L263/$F263)</f>
        <v/>
      </c>
      <c r="N263" s="14"/>
      <c r="O263" s="14"/>
      <c r="P263" s="14"/>
      <c r="Q263" s="14"/>
    </row>
    <row r="264" customFormat="false" ht="15" hidden="false" customHeight="false" outlineLevel="0" collapsed="false">
      <c r="A264" s="16"/>
      <c r="B264" s="14"/>
      <c r="C264" s="14" t="str">
        <f aca="false">IFERROR(IF($B264="","",INDEX(Inventory!$B$3:$B$253,MATCH($B264,Inventory!$A$3:$A$253,0))),"")</f>
        <v/>
      </c>
      <c r="D264" s="15"/>
      <c r="E264" s="11"/>
      <c r="F264" s="11" t="str">
        <f aca="false">IF($D264="","",$D264*$E264)</f>
        <v/>
      </c>
      <c r="G264" s="11" t="str">
        <f aca="false">IFERROR(IF($B264="","",INDEX(Inventory!$G$3:$G$253,MATCH($B264,Inventory!$A$3:$A$253,0))),"")</f>
        <v/>
      </c>
      <c r="H264" s="11" t="str">
        <f aca="false">IF($D264="","",$D264*IFERROR($G264+0,0))</f>
        <v/>
      </c>
      <c r="I264" s="11"/>
      <c r="J264" s="11"/>
      <c r="K264" s="11" t="str">
        <f aca="false">IF($F264="","",$F264-$I264-$J264)</f>
        <v/>
      </c>
      <c r="L264" s="11" t="str">
        <f aca="false">IF($K264="","",$K264-$H264)</f>
        <v/>
      </c>
      <c r="M264" s="12" t="str">
        <f aca="false">IF(OR($F264="",$F264=0),"",$L264/$F264)</f>
        <v/>
      </c>
      <c r="N264" s="14"/>
      <c r="O264" s="14"/>
      <c r="P264" s="14"/>
      <c r="Q264" s="14"/>
    </row>
    <row r="265" customFormat="false" ht="15" hidden="false" customHeight="false" outlineLevel="0" collapsed="false">
      <c r="A265" s="16"/>
      <c r="B265" s="14"/>
      <c r="C265" s="14" t="str">
        <f aca="false">IFERROR(IF($B265="","",INDEX(Inventory!$B$3:$B$253,MATCH($B265,Inventory!$A$3:$A$253,0))),"")</f>
        <v/>
      </c>
      <c r="D265" s="15"/>
      <c r="E265" s="11"/>
      <c r="F265" s="11" t="str">
        <f aca="false">IF($D265="","",$D265*$E265)</f>
        <v/>
      </c>
      <c r="G265" s="11" t="str">
        <f aca="false">IFERROR(IF($B265="","",INDEX(Inventory!$G$3:$G$253,MATCH($B265,Inventory!$A$3:$A$253,0))),"")</f>
        <v/>
      </c>
      <c r="H265" s="11" t="str">
        <f aca="false">IF($D265="","",$D265*IFERROR($G265+0,0))</f>
        <v/>
      </c>
      <c r="I265" s="11"/>
      <c r="J265" s="11"/>
      <c r="K265" s="11" t="str">
        <f aca="false">IF($F265="","",$F265-$I265-$J265)</f>
        <v/>
      </c>
      <c r="L265" s="11" t="str">
        <f aca="false">IF($K265="","",$K265-$H265)</f>
        <v/>
      </c>
      <c r="M265" s="12" t="str">
        <f aca="false">IF(OR($F265="",$F265=0),"",$L265/$F265)</f>
        <v/>
      </c>
      <c r="N265" s="14"/>
      <c r="O265" s="14"/>
      <c r="P265" s="14"/>
      <c r="Q265" s="14"/>
    </row>
    <row r="266" customFormat="false" ht="15" hidden="false" customHeight="false" outlineLevel="0" collapsed="false">
      <c r="A266" s="16"/>
      <c r="B266" s="14"/>
      <c r="C266" s="14" t="str">
        <f aca="false">IFERROR(IF($B266="","",INDEX(Inventory!$B$3:$B$253,MATCH($B266,Inventory!$A$3:$A$253,0))),"")</f>
        <v/>
      </c>
      <c r="D266" s="15"/>
      <c r="E266" s="11"/>
      <c r="F266" s="11" t="str">
        <f aca="false">IF($D266="","",$D266*$E266)</f>
        <v/>
      </c>
      <c r="G266" s="11" t="str">
        <f aca="false">IFERROR(IF($B266="","",INDEX(Inventory!$G$3:$G$253,MATCH($B266,Inventory!$A$3:$A$253,0))),"")</f>
        <v/>
      </c>
      <c r="H266" s="11" t="str">
        <f aca="false">IF($D266="","",$D266*IFERROR($G266+0,0))</f>
        <v/>
      </c>
      <c r="I266" s="11"/>
      <c r="J266" s="11"/>
      <c r="K266" s="11" t="str">
        <f aca="false">IF($F266="","",$F266-$I266-$J266)</f>
        <v/>
      </c>
      <c r="L266" s="11" t="str">
        <f aca="false">IF($K266="","",$K266-$H266)</f>
        <v/>
      </c>
      <c r="M266" s="12" t="str">
        <f aca="false">IF(OR($F266="",$F266=0),"",$L266/$F266)</f>
        <v/>
      </c>
      <c r="N266" s="14"/>
      <c r="O266" s="14"/>
      <c r="P266" s="14"/>
      <c r="Q266" s="14"/>
    </row>
    <row r="267" customFormat="false" ht="15" hidden="false" customHeight="false" outlineLevel="0" collapsed="false">
      <c r="A267" s="16"/>
      <c r="B267" s="14"/>
      <c r="C267" s="14" t="str">
        <f aca="false">IFERROR(IF($B267="","",INDEX(Inventory!$B$3:$B$253,MATCH($B267,Inventory!$A$3:$A$253,0))),"")</f>
        <v/>
      </c>
      <c r="D267" s="15"/>
      <c r="E267" s="11"/>
      <c r="F267" s="11" t="str">
        <f aca="false">IF($D267="","",$D267*$E267)</f>
        <v/>
      </c>
      <c r="G267" s="11" t="str">
        <f aca="false">IFERROR(IF($B267="","",INDEX(Inventory!$G$3:$G$253,MATCH($B267,Inventory!$A$3:$A$253,0))),"")</f>
        <v/>
      </c>
      <c r="H267" s="11" t="str">
        <f aca="false">IF($D267="","",$D267*IFERROR($G267+0,0))</f>
        <v/>
      </c>
      <c r="I267" s="11"/>
      <c r="J267" s="11"/>
      <c r="K267" s="11" t="str">
        <f aca="false">IF($F267="","",$F267-$I267-$J267)</f>
        <v/>
      </c>
      <c r="L267" s="11" t="str">
        <f aca="false">IF($K267="","",$K267-$H267)</f>
        <v/>
      </c>
      <c r="M267" s="12" t="str">
        <f aca="false">IF(OR($F267="",$F267=0),"",$L267/$F267)</f>
        <v/>
      </c>
      <c r="N267" s="14"/>
      <c r="O267" s="14"/>
      <c r="P267" s="14"/>
      <c r="Q267" s="14"/>
    </row>
    <row r="268" customFormat="false" ht="15" hidden="false" customHeight="false" outlineLevel="0" collapsed="false">
      <c r="A268" s="16"/>
      <c r="B268" s="14"/>
      <c r="C268" s="14" t="str">
        <f aca="false">IFERROR(IF($B268="","",INDEX(Inventory!$B$3:$B$253,MATCH($B268,Inventory!$A$3:$A$253,0))),"")</f>
        <v/>
      </c>
      <c r="D268" s="15"/>
      <c r="E268" s="11"/>
      <c r="F268" s="11" t="str">
        <f aca="false">IF($D268="","",$D268*$E268)</f>
        <v/>
      </c>
      <c r="G268" s="11" t="str">
        <f aca="false">IFERROR(IF($B268="","",INDEX(Inventory!$G$3:$G$253,MATCH($B268,Inventory!$A$3:$A$253,0))),"")</f>
        <v/>
      </c>
      <c r="H268" s="11" t="str">
        <f aca="false">IF($D268="","",$D268*IFERROR($G268+0,0))</f>
        <v/>
      </c>
      <c r="I268" s="11"/>
      <c r="J268" s="11"/>
      <c r="K268" s="11" t="str">
        <f aca="false">IF($F268="","",$F268-$I268-$J268)</f>
        <v/>
      </c>
      <c r="L268" s="11" t="str">
        <f aca="false">IF($K268="","",$K268-$H268)</f>
        <v/>
      </c>
      <c r="M268" s="12" t="str">
        <f aca="false">IF(OR($F268="",$F268=0),"",$L268/$F268)</f>
        <v/>
      </c>
      <c r="N268" s="14"/>
      <c r="O268" s="14"/>
      <c r="P268" s="14"/>
      <c r="Q268" s="14"/>
    </row>
    <row r="269" customFormat="false" ht="15" hidden="false" customHeight="false" outlineLevel="0" collapsed="false">
      <c r="A269" s="16"/>
      <c r="B269" s="14"/>
      <c r="C269" s="14" t="str">
        <f aca="false">IFERROR(IF($B269="","",INDEX(Inventory!$B$3:$B$253,MATCH($B269,Inventory!$A$3:$A$253,0))),"")</f>
        <v/>
      </c>
      <c r="D269" s="15"/>
      <c r="E269" s="11"/>
      <c r="F269" s="11" t="str">
        <f aca="false">IF($D269="","",$D269*$E269)</f>
        <v/>
      </c>
      <c r="G269" s="11" t="str">
        <f aca="false">IFERROR(IF($B269="","",INDEX(Inventory!$G$3:$G$253,MATCH($B269,Inventory!$A$3:$A$253,0))),"")</f>
        <v/>
      </c>
      <c r="H269" s="11" t="str">
        <f aca="false">IF($D269="","",$D269*IFERROR($G269+0,0))</f>
        <v/>
      </c>
      <c r="I269" s="11"/>
      <c r="J269" s="11"/>
      <c r="K269" s="11" t="str">
        <f aca="false">IF($F269="","",$F269-$I269-$J269)</f>
        <v/>
      </c>
      <c r="L269" s="11" t="str">
        <f aca="false">IF($K269="","",$K269-$H269)</f>
        <v/>
      </c>
      <c r="M269" s="12" t="str">
        <f aca="false">IF(OR($F269="",$F269=0),"",$L269/$F269)</f>
        <v/>
      </c>
      <c r="N269" s="14"/>
      <c r="O269" s="14"/>
      <c r="P269" s="14"/>
      <c r="Q269" s="14"/>
    </row>
    <row r="270" customFormat="false" ht="15" hidden="false" customHeight="false" outlineLevel="0" collapsed="false">
      <c r="A270" s="16"/>
      <c r="B270" s="14"/>
      <c r="C270" s="14" t="str">
        <f aca="false">IFERROR(IF($B270="","",INDEX(Inventory!$B$3:$B$253,MATCH($B270,Inventory!$A$3:$A$253,0))),"")</f>
        <v/>
      </c>
      <c r="D270" s="15"/>
      <c r="E270" s="11"/>
      <c r="F270" s="11" t="str">
        <f aca="false">IF($D270="","",$D270*$E270)</f>
        <v/>
      </c>
      <c r="G270" s="11" t="str">
        <f aca="false">IFERROR(IF($B270="","",INDEX(Inventory!$G$3:$G$253,MATCH($B270,Inventory!$A$3:$A$253,0))),"")</f>
        <v/>
      </c>
      <c r="H270" s="11" t="str">
        <f aca="false">IF($D270="","",$D270*IFERROR($G270+0,0))</f>
        <v/>
      </c>
      <c r="I270" s="11"/>
      <c r="J270" s="11"/>
      <c r="K270" s="11" t="str">
        <f aca="false">IF($F270="","",$F270-$I270-$J270)</f>
        <v/>
      </c>
      <c r="L270" s="11" t="str">
        <f aca="false">IF($K270="","",$K270-$H270)</f>
        <v/>
      </c>
      <c r="M270" s="12" t="str">
        <f aca="false">IF(OR($F270="",$F270=0),"",$L270/$F270)</f>
        <v/>
      </c>
      <c r="N270" s="14"/>
      <c r="O270" s="14"/>
      <c r="P270" s="14"/>
      <c r="Q270" s="14"/>
    </row>
    <row r="271" customFormat="false" ht="15" hidden="false" customHeight="false" outlineLevel="0" collapsed="false">
      <c r="A271" s="16"/>
      <c r="B271" s="14"/>
      <c r="C271" s="14" t="str">
        <f aca="false">IFERROR(IF($B271="","",INDEX(Inventory!$B$3:$B$253,MATCH($B271,Inventory!$A$3:$A$253,0))),"")</f>
        <v/>
      </c>
      <c r="D271" s="15"/>
      <c r="E271" s="11"/>
      <c r="F271" s="11" t="str">
        <f aca="false">IF($D271="","",$D271*$E271)</f>
        <v/>
      </c>
      <c r="G271" s="11" t="str">
        <f aca="false">IFERROR(IF($B271="","",INDEX(Inventory!$G$3:$G$253,MATCH($B271,Inventory!$A$3:$A$253,0))),"")</f>
        <v/>
      </c>
      <c r="H271" s="11" t="str">
        <f aca="false">IF($D271="","",$D271*IFERROR($G271+0,0))</f>
        <v/>
      </c>
      <c r="I271" s="11"/>
      <c r="J271" s="11"/>
      <c r="K271" s="11" t="str">
        <f aca="false">IF($F271="","",$F271-$I271-$J271)</f>
        <v/>
      </c>
      <c r="L271" s="11" t="str">
        <f aca="false">IF($K271="","",$K271-$H271)</f>
        <v/>
      </c>
      <c r="M271" s="12" t="str">
        <f aca="false">IF(OR($F271="",$F271=0),"",$L271/$F271)</f>
        <v/>
      </c>
      <c r="N271" s="14"/>
      <c r="O271" s="14"/>
      <c r="P271" s="14"/>
      <c r="Q271" s="14"/>
    </row>
    <row r="272" customFormat="false" ht="15" hidden="false" customHeight="false" outlineLevel="0" collapsed="false">
      <c r="A272" s="16"/>
      <c r="B272" s="14"/>
      <c r="C272" s="14" t="str">
        <f aca="false">IFERROR(IF($B272="","",INDEX(Inventory!$B$3:$B$253,MATCH($B272,Inventory!$A$3:$A$253,0))),"")</f>
        <v/>
      </c>
      <c r="D272" s="15"/>
      <c r="E272" s="11"/>
      <c r="F272" s="11" t="str">
        <f aca="false">IF($D272="","",$D272*$E272)</f>
        <v/>
      </c>
      <c r="G272" s="11" t="str">
        <f aca="false">IFERROR(IF($B272="","",INDEX(Inventory!$G$3:$G$253,MATCH($B272,Inventory!$A$3:$A$253,0))),"")</f>
        <v/>
      </c>
      <c r="H272" s="11" t="str">
        <f aca="false">IF($D272="","",$D272*IFERROR($G272+0,0))</f>
        <v/>
      </c>
      <c r="I272" s="11"/>
      <c r="J272" s="11"/>
      <c r="K272" s="11" t="str">
        <f aca="false">IF($F272="","",$F272-$I272-$J272)</f>
        <v/>
      </c>
      <c r="L272" s="11" t="str">
        <f aca="false">IF($K272="","",$K272-$H272)</f>
        <v/>
      </c>
      <c r="M272" s="12" t="str">
        <f aca="false">IF(OR($F272="",$F272=0),"",$L272/$F272)</f>
        <v/>
      </c>
      <c r="N272" s="14"/>
      <c r="O272" s="14"/>
      <c r="P272" s="14"/>
      <c r="Q272" s="14"/>
    </row>
    <row r="273" customFormat="false" ht="15" hidden="false" customHeight="false" outlineLevel="0" collapsed="false">
      <c r="A273" s="16"/>
      <c r="B273" s="14"/>
      <c r="C273" s="14" t="str">
        <f aca="false">IFERROR(IF($B273="","",INDEX(Inventory!$B$3:$B$253,MATCH($B273,Inventory!$A$3:$A$253,0))),"")</f>
        <v/>
      </c>
      <c r="D273" s="15"/>
      <c r="E273" s="11"/>
      <c r="F273" s="11" t="str">
        <f aca="false">IF($D273="","",$D273*$E273)</f>
        <v/>
      </c>
      <c r="G273" s="11" t="str">
        <f aca="false">IFERROR(IF($B273="","",INDEX(Inventory!$G$3:$G$253,MATCH($B273,Inventory!$A$3:$A$253,0))),"")</f>
        <v/>
      </c>
      <c r="H273" s="11" t="str">
        <f aca="false">IF($D273="","",$D273*IFERROR($G273+0,0))</f>
        <v/>
      </c>
      <c r="I273" s="11"/>
      <c r="J273" s="11"/>
      <c r="K273" s="11" t="str">
        <f aca="false">IF($F273="","",$F273-$I273-$J273)</f>
        <v/>
      </c>
      <c r="L273" s="11" t="str">
        <f aca="false">IF($K273="","",$K273-$H273)</f>
        <v/>
      </c>
      <c r="M273" s="12" t="str">
        <f aca="false">IF(OR($F273="",$F273=0),"",$L273/$F273)</f>
        <v/>
      </c>
      <c r="N273" s="14"/>
      <c r="O273" s="14"/>
      <c r="P273" s="14"/>
      <c r="Q273" s="14"/>
    </row>
    <row r="274" customFormat="false" ht="15" hidden="false" customHeight="false" outlineLevel="0" collapsed="false">
      <c r="A274" s="16"/>
      <c r="B274" s="14"/>
      <c r="C274" s="14" t="str">
        <f aca="false">IFERROR(IF($B274="","",INDEX(Inventory!$B$3:$B$253,MATCH($B274,Inventory!$A$3:$A$253,0))),"")</f>
        <v/>
      </c>
      <c r="D274" s="15"/>
      <c r="E274" s="11"/>
      <c r="F274" s="11" t="str">
        <f aca="false">IF($D274="","",$D274*$E274)</f>
        <v/>
      </c>
      <c r="G274" s="11" t="str">
        <f aca="false">IFERROR(IF($B274="","",INDEX(Inventory!$G$3:$G$253,MATCH($B274,Inventory!$A$3:$A$253,0))),"")</f>
        <v/>
      </c>
      <c r="H274" s="11" t="str">
        <f aca="false">IF($D274="","",$D274*IFERROR($G274+0,0))</f>
        <v/>
      </c>
      <c r="I274" s="11"/>
      <c r="J274" s="11"/>
      <c r="K274" s="11" t="str">
        <f aca="false">IF($F274="","",$F274-$I274-$J274)</f>
        <v/>
      </c>
      <c r="L274" s="11" t="str">
        <f aca="false">IF($K274="","",$K274-$H274)</f>
        <v/>
      </c>
      <c r="M274" s="12" t="str">
        <f aca="false">IF(OR($F274="",$F274=0),"",$L274/$F274)</f>
        <v/>
      </c>
      <c r="N274" s="14"/>
      <c r="O274" s="14"/>
      <c r="P274" s="14"/>
      <c r="Q274" s="14"/>
    </row>
    <row r="275" customFormat="false" ht="15" hidden="false" customHeight="false" outlineLevel="0" collapsed="false">
      <c r="A275" s="16"/>
      <c r="B275" s="14"/>
      <c r="C275" s="14" t="str">
        <f aca="false">IFERROR(IF($B275="","",INDEX(Inventory!$B$3:$B$253,MATCH($B275,Inventory!$A$3:$A$253,0))),"")</f>
        <v/>
      </c>
      <c r="D275" s="15"/>
      <c r="E275" s="11"/>
      <c r="F275" s="11" t="str">
        <f aca="false">IF($D275="","",$D275*$E275)</f>
        <v/>
      </c>
      <c r="G275" s="11" t="str">
        <f aca="false">IFERROR(IF($B275="","",INDEX(Inventory!$G$3:$G$253,MATCH($B275,Inventory!$A$3:$A$253,0))),"")</f>
        <v/>
      </c>
      <c r="H275" s="11" t="str">
        <f aca="false">IF($D275="","",$D275*IFERROR($G275+0,0))</f>
        <v/>
      </c>
      <c r="I275" s="11"/>
      <c r="J275" s="11"/>
      <c r="K275" s="11" t="str">
        <f aca="false">IF($F275="","",$F275-$I275-$J275)</f>
        <v/>
      </c>
      <c r="L275" s="11" t="str">
        <f aca="false">IF($K275="","",$K275-$H275)</f>
        <v/>
      </c>
      <c r="M275" s="12" t="str">
        <f aca="false">IF(OR($F275="",$F275=0),"",$L275/$F275)</f>
        <v/>
      </c>
      <c r="N275" s="14"/>
      <c r="O275" s="14"/>
      <c r="P275" s="14"/>
      <c r="Q275" s="14"/>
    </row>
    <row r="276" customFormat="false" ht="15" hidden="false" customHeight="false" outlineLevel="0" collapsed="false">
      <c r="A276" s="16"/>
      <c r="B276" s="14"/>
      <c r="C276" s="14" t="str">
        <f aca="false">IFERROR(IF($B276="","",INDEX(Inventory!$B$3:$B$253,MATCH($B276,Inventory!$A$3:$A$253,0))),"")</f>
        <v/>
      </c>
      <c r="D276" s="15"/>
      <c r="E276" s="11"/>
      <c r="F276" s="11" t="str">
        <f aca="false">IF($D276="","",$D276*$E276)</f>
        <v/>
      </c>
      <c r="G276" s="11" t="str">
        <f aca="false">IFERROR(IF($B276="","",INDEX(Inventory!$G$3:$G$253,MATCH($B276,Inventory!$A$3:$A$253,0))),"")</f>
        <v/>
      </c>
      <c r="H276" s="11" t="str">
        <f aca="false">IF($D276="","",$D276*IFERROR($G276+0,0))</f>
        <v/>
      </c>
      <c r="I276" s="11"/>
      <c r="J276" s="11"/>
      <c r="K276" s="11" t="str">
        <f aca="false">IF($F276="","",$F276-$I276-$J276)</f>
        <v/>
      </c>
      <c r="L276" s="11" t="str">
        <f aca="false">IF($K276="","",$K276-$H276)</f>
        <v/>
      </c>
      <c r="M276" s="12" t="str">
        <f aca="false">IF(OR($F276="",$F276=0),"",$L276/$F276)</f>
        <v/>
      </c>
      <c r="N276" s="14"/>
      <c r="O276" s="14"/>
      <c r="P276" s="14"/>
      <c r="Q276" s="14"/>
    </row>
    <row r="277" customFormat="false" ht="15" hidden="false" customHeight="false" outlineLevel="0" collapsed="false">
      <c r="A277" s="16"/>
      <c r="B277" s="14"/>
      <c r="C277" s="14" t="str">
        <f aca="false">IFERROR(IF($B277="","",INDEX(Inventory!$B$3:$B$253,MATCH($B277,Inventory!$A$3:$A$253,0))),"")</f>
        <v/>
      </c>
      <c r="D277" s="15"/>
      <c r="E277" s="11"/>
      <c r="F277" s="11" t="str">
        <f aca="false">IF($D277="","",$D277*$E277)</f>
        <v/>
      </c>
      <c r="G277" s="11" t="str">
        <f aca="false">IFERROR(IF($B277="","",INDEX(Inventory!$G$3:$G$253,MATCH($B277,Inventory!$A$3:$A$253,0))),"")</f>
        <v/>
      </c>
      <c r="H277" s="11" t="str">
        <f aca="false">IF($D277="","",$D277*IFERROR($G277+0,0))</f>
        <v/>
      </c>
      <c r="I277" s="11"/>
      <c r="J277" s="11"/>
      <c r="K277" s="11" t="str">
        <f aca="false">IF($F277="","",$F277-$I277-$J277)</f>
        <v/>
      </c>
      <c r="L277" s="11" t="str">
        <f aca="false">IF($K277="","",$K277-$H277)</f>
        <v/>
      </c>
      <c r="M277" s="12" t="str">
        <f aca="false">IF(OR($F277="",$F277=0),"",$L277/$F277)</f>
        <v/>
      </c>
      <c r="N277" s="14"/>
      <c r="O277" s="14"/>
      <c r="P277" s="14"/>
      <c r="Q277" s="14"/>
    </row>
    <row r="278" customFormat="false" ht="15" hidden="false" customHeight="false" outlineLevel="0" collapsed="false">
      <c r="A278" s="16"/>
      <c r="B278" s="14"/>
      <c r="C278" s="14" t="str">
        <f aca="false">IFERROR(IF($B278="","",INDEX(Inventory!$B$3:$B$253,MATCH($B278,Inventory!$A$3:$A$253,0))),"")</f>
        <v/>
      </c>
      <c r="D278" s="15"/>
      <c r="E278" s="11"/>
      <c r="F278" s="11" t="str">
        <f aca="false">IF($D278="","",$D278*$E278)</f>
        <v/>
      </c>
      <c r="G278" s="11" t="str">
        <f aca="false">IFERROR(IF($B278="","",INDEX(Inventory!$G$3:$G$253,MATCH($B278,Inventory!$A$3:$A$253,0))),"")</f>
        <v/>
      </c>
      <c r="H278" s="11" t="str">
        <f aca="false">IF($D278="","",$D278*IFERROR($G278+0,0))</f>
        <v/>
      </c>
      <c r="I278" s="11"/>
      <c r="J278" s="11"/>
      <c r="K278" s="11" t="str">
        <f aca="false">IF($F278="","",$F278-$I278-$J278)</f>
        <v/>
      </c>
      <c r="L278" s="11" t="str">
        <f aca="false">IF($K278="","",$K278-$H278)</f>
        <v/>
      </c>
      <c r="M278" s="12" t="str">
        <f aca="false">IF(OR($F278="",$F278=0),"",$L278/$F278)</f>
        <v/>
      </c>
      <c r="N278" s="14"/>
      <c r="O278" s="14"/>
      <c r="P278" s="14"/>
      <c r="Q278" s="14"/>
    </row>
    <row r="279" customFormat="false" ht="15" hidden="false" customHeight="false" outlineLevel="0" collapsed="false">
      <c r="A279" s="16"/>
      <c r="B279" s="14"/>
      <c r="C279" s="14" t="str">
        <f aca="false">IFERROR(IF($B279="","",INDEX(Inventory!$B$3:$B$253,MATCH($B279,Inventory!$A$3:$A$253,0))),"")</f>
        <v/>
      </c>
      <c r="D279" s="15"/>
      <c r="E279" s="11"/>
      <c r="F279" s="11" t="str">
        <f aca="false">IF($D279="","",$D279*$E279)</f>
        <v/>
      </c>
      <c r="G279" s="11" t="str">
        <f aca="false">IFERROR(IF($B279="","",INDEX(Inventory!$G$3:$G$253,MATCH($B279,Inventory!$A$3:$A$253,0))),"")</f>
        <v/>
      </c>
      <c r="H279" s="11" t="str">
        <f aca="false">IF($D279="","",$D279*IFERROR($G279+0,0))</f>
        <v/>
      </c>
      <c r="I279" s="11"/>
      <c r="J279" s="11"/>
      <c r="K279" s="11" t="str">
        <f aca="false">IF($F279="","",$F279-$I279-$J279)</f>
        <v/>
      </c>
      <c r="L279" s="11" t="str">
        <f aca="false">IF($K279="","",$K279-$H279)</f>
        <v/>
      </c>
      <c r="M279" s="12" t="str">
        <f aca="false">IF(OR($F279="",$F279=0),"",$L279/$F279)</f>
        <v/>
      </c>
      <c r="N279" s="14"/>
      <c r="O279" s="14"/>
      <c r="P279" s="14"/>
      <c r="Q279" s="14"/>
    </row>
    <row r="280" customFormat="false" ht="15" hidden="false" customHeight="false" outlineLevel="0" collapsed="false">
      <c r="A280" s="16"/>
      <c r="B280" s="14"/>
      <c r="C280" s="14" t="str">
        <f aca="false">IFERROR(IF($B280="","",INDEX(Inventory!$B$3:$B$253,MATCH($B280,Inventory!$A$3:$A$253,0))),"")</f>
        <v/>
      </c>
      <c r="D280" s="15"/>
      <c r="E280" s="11"/>
      <c r="F280" s="11" t="str">
        <f aca="false">IF($D280="","",$D280*$E280)</f>
        <v/>
      </c>
      <c r="G280" s="11" t="str">
        <f aca="false">IFERROR(IF($B280="","",INDEX(Inventory!$G$3:$G$253,MATCH($B280,Inventory!$A$3:$A$253,0))),"")</f>
        <v/>
      </c>
      <c r="H280" s="11" t="str">
        <f aca="false">IF($D280="","",$D280*IFERROR($G280+0,0))</f>
        <v/>
      </c>
      <c r="I280" s="11"/>
      <c r="J280" s="11"/>
      <c r="K280" s="11" t="str">
        <f aca="false">IF($F280="","",$F280-$I280-$J280)</f>
        <v/>
      </c>
      <c r="L280" s="11" t="str">
        <f aca="false">IF($K280="","",$K280-$H280)</f>
        <v/>
      </c>
      <c r="M280" s="12" t="str">
        <f aca="false">IF(OR($F280="",$F280=0),"",$L280/$F280)</f>
        <v/>
      </c>
      <c r="N280" s="14"/>
      <c r="O280" s="14"/>
      <c r="P280" s="14"/>
      <c r="Q280" s="14"/>
    </row>
    <row r="281" customFormat="false" ht="15" hidden="false" customHeight="false" outlineLevel="0" collapsed="false">
      <c r="A281" s="16"/>
      <c r="B281" s="14"/>
      <c r="C281" s="14" t="str">
        <f aca="false">IFERROR(IF($B281="","",INDEX(Inventory!$B$3:$B$253,MATCH($B281,Inventory!$A$3:$A$253,0))),"")</f>
        <v/>
      </c>
      <c r="D281" s="15"/>
      <c r="E281" s="11"/>
      <c r="F281" s="11" t="str">
        <f aca="false">IF($D281="","",$D281*$E281)</f>
        <v/>
      </c>
      <c r="G281" s="11" t="str">
        <f aca="false">IFERROR(IF($B281="","",INDEX(Inventory!$G$3:$G$253,MATCH($B281,Inventory!$A$3:$A$253,0))),"")</f>
        <v/>
      </c>
      <c r="H281" s="11" t="str">
        <f aca="false">IF($D281="","",$D281*IFERROR($G281+0,0))</f>
        <v/>
      </c>
      <c r="I281" s="11"/>
      <c r="J281" s="11"/>
      <c r="K281" s="11" t="str">
        <f aca="false">IF($F281="","",$F281-$I281-$J281)</f>
        <v/>
      </c>
      <c r="L281" s="11" t="str">
        <f aca="false">IF($K281="","",$K281-$H281)</f>
        <v/>
      </c>
      <c r="M281" s="12" t="str">
        <f aca="false">IF(OR($F281="",$F281=0),"",$L281/$F281)</f>
        <v/>
      </c>
      <c r="N281" s="14"/>
      <c r="O281" s="14"/>
      <c r="P281" s="14"/>
      <c r="Q281" s="14"/>
    </row>
    <row r="282" customFormat="false" ht="15" hidden="false" customHeight="false" outlineLevel="0" collapsed="false">
      <c r="A282" s="16"/>
      <c r="B282" s="14"/>
      <c r="C282" s="14" t="str">
        <f aca="false">IFERROR(IF($B282="","",INDEX(Inventory!$B$3:$B$253,MATCH($B282,Inventory!$A$3:$A$253,0))),"")</f>
        <v/>
      </c>
      <c r="D282" s="15"/>
      <c r="E282" s="11"/>
      <c r="F282" s="11" t="str">
        <f aca="false">IF($D282="","",$D282*$E282)</f>
        <v/>
      </c>
      <c r="G282" s="11" t="str">
        <f aca="false">IFERROR(IF($B282="","",INDEX(Inventory!$G$3:$G$253,MATCH($B282,Inventory!$A$3:$A$253,0))),"")</f>
        <v/>
      </c>
      <c r="H282" s="11" t="str">
        <f aca="false">IF($D282="","",$D282*IFERROR($G282+0,0))</f>
        <v/>
      </c>
      <c r="I282" s="11"/>
      <c r="J282" s="11"/>
      <c r="K282" s="11" t="str">
        <f aca="false">IF($F282="","",$F282-$I282-$J282)</f>
        <v/>
      </c>
      <c r="L282" s="11" t="str">
        <f aca="false">IF($K282="","",$K282-$H282)</f>
        <v/>
      </c>
      <c r="M282" s="12" t="str">
        <f aca="false">IF(OR($F282="",$F282=0),"",$L282/$F282)</f>
        <v/>
      </c>
      <c r="N282" s="14"/>
      <c r="O282" s="14"/>
      <c r="P282" s="14"/>
      <c r="Q282" s="14"/>
    </row>
    <row r="283" customFormat="false" ht="15" hidden="false" customHeight="false" outlineLevel="0" collapsed="false">
      <c r="A283" s="16"/>
      <c r="B283" s="14"/>
      <c r="C283" s="14" t="str">
        <f aca="false">IFERROR(IF($B283="","",INDEX(Inventory!$B$3:$B$253,MATCH($B283,Inventory!$A$3:$A$253,0))),"")</f>
        <v/>
      </c>
      <c r="D283" s="15"/>
      <c r="E283" s="11"/>
      <c r="F283" s="11" t="str">
        <f aca="false">IF($D283="","",$D283*$E283)</f>
        <v/>
      </c>
      <c r="G283" s="11" t="str">
        <f aca="false">IFERROR(IF($B283="","",INDEX(Inventory!$G$3:$G$253,MATCH($B283,Inventory!$A$3:$A$253,0))),"")</f>
        <v/>
      </c>
      <c r="H283" s="11" t="str">
        <f aca="false">IF($D283="","",$D283*IFERROR($G283+0,0))</f>
        <v/>
      </c>
      <c r="I283" s="11"/>
      <c r="J283" s="11"/>
      <c r="K283" s="11" t="str">
        <f aca="false">IF($F283="","",$F283-$I283-$J283)</f>
        <v/>
      </c>
      <c r="L283" s="11" t="str">
        <f aca="false">IF($K283="","",$K283-$H283)</f>
        <v/>
      </c>
      <c r="M283" s="12" t="str">
        <f aca="false">IF(OR($F283="",$F283=0),"",$L283/$F283)</f>
        <v/>
      </c>
      <c r="N283" s="14"/>
      <c r="O283" s="14"/>
      <c r="P283" s="14"/>
      <c r="Q283" s="14"/>
    </row>
    <row r="284" customFormat="false" ht="15" hidden="false" customHeight="false" outlineLevel="0" collapsed="false">
      <c r="A284" s="16"/>
      <c r="B284" s="14"/>
      <c r="C284" s="14" t="str">
        <f aca="false">IFERROR(IF($B284="","",INDEX(Inventory!$B$3:$B$253,MATCH($B284,Inventory!$A$3:$A$253,0))),"")</f>
        <v/>
      </c>
      <c r="D284" s="15"/>
      <c r="E284" s="11"/>
      <c r="F284" s="11" t="str">
        <f aca="false">IF($D284="","",$D284*$E284)</f>
        <v/>
      </c>
      <c r="G284" s="11" t="str">
        <f aca="false">IFERROR(IF($B284="","",INDEX(Inventory!$G$3:$G$253,MATCH($B284,Inventory!$A$3:$A$253,0))),"")</f>
        <v/>
      </c>
      <c r="H284" s="11" t="str">
        <f aca="false">IF($D284="","",$D284*IFERROR($G284+0,0))</f>
        <v/>
      </c>
      <c r="I284" s="11"/>
      <c r="J284" s="11"/>
      <c r="K284" s="11" t="str">
        <f aca="false">IF($F284="","",$F284-$I284-$J284)</f>
        <v/>
      </c>
      <c r="L284" s="11" t="str">
        <f aca="false">IF($K284="","",$K284-$H284)</f>
        <v/>
      </c>
      <c r="M284" s="12" t="str">
        <f aca="false">IF(OR($F284="",$F284=0),"",$L284/$F284)</f>
        <v/>
      </c>
      <c r="N284" s="14"/>
      <c r="O284" s="14"/>
      <c r="P284" s="14"/>
      <c r="Q284" s="14"/>
    </row>
    <row r="285" customFormat="false" ht="15" hidden="false" customHeight="false" outlineLevel="0" collapsed="false">
      <c r="A285" s="16"/>
      <c r="B285" s="14"/>
      <c r="C285" s="14" t="str">
        <f aca="false">IFERROR(IF($B285="","",INDEX(Inventory!$B$3:$B$253,MATCH($B285,Inventory!$A$3:$A$253,0))),"")</f>
        <v/>
      </c>
      <c r="D285" s="15"/>
      <c r="E285" s="11"/>
      <c r="F285" s="11" t="str">
        <f aca="false">IF($D285="","",$D285*$E285)</f>
        <v/>
      </c>
      <c r="G285" s="11" t="str">
        <f aca="false">IFERROR(IF($B285="","",INDEX(Inventory!$G$3:$G$253,MATCH($B285,Inventory!$A$3:$A$253,0))),"")</f>
        <v/>
      </c>
      <c r="H285" s="11" t="str">
        <f aca="false">IF($D285="","",$D285*IFERROR($G285+0,0))</f>
        <v/>
      </c>
      <c r="I285" s="11"/>
      <c r="J285" s="11"/>
      <c r="K285" s="11" t="str">
        <f aca="false">IF($F285="","",$F285-$I285-$J285)</f>
        <v/>
      </c>
      <c r="L285" s="11" t="str">
        <f aca="false">IF($K285="","",$K285-$H285)</f>
        <v/>
      </c>
      <c r="M285" s="12" t="str">
        <f aca="false">IF(OR($F285="",$F285=0),"",$L285/$F285)</f>
        <v/>
      </c>
      <c r="N285" s="14"/>
      <c r="O285" s="14"/>
      <c r="P285" s="14"/>
      <c r="Q285" s="14"/>
    </row>
    <row r="286" customFormat="false" ht="15" hidden="false" customHeight="false" outlineLevel="0" collapsed="false">
      <c r="A286" s="16"/>
      <c r="B286" s="14"/>
      <c r="C286" s="14" t="str">
        <f aca="false">IFERROR(IF($B286="","",INDEX(Inventory!$B$3:$B$253,MATCH($B286,Inventory!$A$3:$A$253,0))),"")</f>
        <v/>
      </c>
      <c r="D286" s="15"/>
      <c r="E286" s="11"/>
      <c r="F286" s="11" t="str">
        <f aca="false">IF($D286="","",$D286*$E286)</f>
        <v/>
      </c>
      <c r="G286" s="11" t="str">
        <f aca="false">IFERROR(IF($B286="","",INDEX(Inventory!$G$3:$G$253,MATCH($B286,Inventory!$A$3:$A$253,0))),"")</f>
        <v/>
      </c>
      <c r="H286" s="11" t="str">
        <f aca="false">IF($D286="","",$D286*IFERROR($G286+0,0))</f>
        <v/>
      </c>
      <c r="I286" s="11"/>
      <c r="J286" s="11"/>
      <c r="K286" s="11" t="str">
        <f aca="false">IF($F286="","",$F286-$I286-$J286)</f>
        <v/>
      </c>
      <c r="L286" s="11" t="str">
        <f aca="false">IF($K286="","",$K286-$H286)</f>
        <v/>
      </c>
      <c r="M286" s="12" t="str">
        <f aca="false">IF(OR($F286="",$F286=0),"",$L286/$F286)</f>
        <v/>
      </c>
      <c r="N286" s="14"/>
      <c r="O286" s="14"/>
      <c r="P286" s="14"/>
      <c r="Q286" s="14"/>
    </row>
    <row r="287" customFormat="false" ht="15" hidden="false" customHeight="false" outlineLevel="0" collapsed="false">
      <c r="A287" s="16"/>
      <c r="B287" s="14"/>
      <c r="C287" s="14" t="str">
        <f aca="false">IFERROR(IF($B287="","",INDEX(Inventory!$B$3:$B$253,MATCH($B287,Inventory!$A$3:$A$253,0))),"")</f>
        <v/>
      </c>
      <c r="D287" s="15"/>
      <c r="E287" s="11"/>
      <c r="F287" s="11" t="str">
        <f aca="false">IF($D287="","",$D287*$E287)</f>
        <v/>
      </c>
      <c r="G287" s="11" t="str">
        <f aca="false">IFERROR(IF($B287="","",INDEX(Inventory!$G$3:$G$253,MATCH($B287,Inventory!$A$3:$A$253,0))),"")</f>
        <v/>
      </c>
      <c r="H287" s="11" t="str">
        <f aca="false">IF($D287="","",$D287*IFERROR($G287+0,0))</f>
        <v/>
      </c>
      <c r="I287" s="11"/>
      <c r="J287" s="11"/>
      <c r="K287" s="11" t="str">
        <f aca="false">IF($F287="","",$F287-$I287-$J287)</f>
        <v/>
      </c>
      <c r="L287" s="11" t="str">
        <f aca="false">IF($K287="","",$K287-$H287)</f>
        <v/>
      </c>
      <c r="M287" s="12" t="str">
        <f aca="false">IF(OR($F287="",$F287=0),"",$L287/$F287)</f>
        <v/>
      </c>
      <c r="N287" s="14"/>
      <c r="O287" s="14"/>
      <c r="P287" s="14"/>
      <c r="Q287" s="14"/>
    </row>
    <row r="288" customFormat="false" ht="15" hidden="false" customHeight="false" outlineLevel="0" collapsed="false">
      <c r="A288" s="16"/>
      <c r="B288" s="14"/>
      <c r="C288" s="14" t="str">
        <f aca="false">IFERROR(IF($B288="","",INDEX(Inventory!$B$3:$B$253,MATCH($B288,Inventory!$A$3:$A$253,0))),"")</f>
        <v/>
      </c>
      <c r="D288" s="15"/>
      <c r="E288" s="11"/>
      <c r="F288" s="11" t="str">
        <f aca="false">IF($D288="","",$D288*$E288)</f>
        <v/>
      </c>
      <c r="G288" s="11" t="str">
        <f aca="false">IFERROR(IF($B288="","",INDEX(Inventory!$G$3:$G$253,MATCH($B288,Inventory!$A$3:$A$253,0))),"")</f>
        <v/>
      </c>
      <c r="H288" s="11" t="str">
        <f aca="false">IF($D288="","",$D288*IFERROR($G288+0,0))</f>
        <v/>
      </c>
      <c r="I288" s="11"/>
      <c r="J288" s="11"/>
      <c r="K288" s="11" t="str">
        <f aca="false">IF($F288="","",$F288-$I288-$J288)</f>
        <v/>
      </c>
      <c r="L288" s="11" t="str">
        <f aca="false">IF($K288="","",$K288-$H288)</f>
        <v/>
      </c>
      <c r="M288" s="12" t="str">
        <f aca="false">IF(OR($F288="",$F288=0),"",$L288/$F288)</f>
        <v/>
      </c>
      <c r="N288" s="14"/>
      <c r="O288" s="14"/>
      <c r="P288" s="14"/>
      <c r="Q288" s="14"/>
    </row>
    <row r="289" customFormat="false" ht="15" hidden="false" customHeight="false" outlineLevel="0" collapsed="false">
      <c r="A289" s="16"/>
      <c r="B289" s="14"/>
      <c r="C289" s="14" t="str">
        <f aca="false">IFERROR(IF($B289="","",INDEX(Inventory!$B$3:$B$253,MATCH($B289,Inventory!$A$3:$A$253,0))),"")</f>
        <v/>
      </c>
      <c r="D289" s="15"/>
      <c r="E289" s="11"/>
      <c r="F289" s="11" t="str">
        <f aca="false">IF($D289="","",$D289*$E289)</f>
        <v/>
      </c>
      <c r="G289" s="11" t="str">
        <f aca="false">IFERROR(IF($B289="","",INDEX(Inventory!$G$3:$G$253,MATCH($B289,Inventory!$A$3:$A$253,0))),"")</f>
        <v/>
      </c>
      <c r="H289" s="11" t="str">
        <f aca="false">IF($D289="","",$D289*IFERROR($G289+0,0))</f>
        <v/>
      </c>
      <c r="I289" s="11"/>
      <c r="J289" s="11"/>
      <c r="K289" s="11" t="str">
        <f aca="false">IF($F289="","",$F289-$I289-$J289)</f>
        <v/>
      </c>
      <c r="L289" s="11" t="str">
        <f aca="false">IF($K289="","",$K289-$H289)</f>
        <v/>
      </c>
      <c r="M289" s="12" t="str">
        <f aca="false">IF(OR($F289="",$F289=0),"",$L289/$F289)</f>
        <v/>
      </c>
      <c r="N289" s="14"/>
      <c r="O289" s="14"/>
      <c r="P289" s="14"/>
      <c r="Q289" s="14"/>
    </row>
    <row r="290" customFormat="false" ht="15" hidden="false" customHeight="false" outlineLevel="0" collapsed="false">
      <c r="A290" s="16"/>
      <c r="B290" s="14"/>
      <c r="C290" s="14" t="str">
        <f aca="false">IFERROR(IF($B290="","",INDEX(Inventory!$B$3:$B$253,MATCH($B290,Inventory!$A$3:$A$253,0))),"")</f>
        <v/>
      </c>
      <c r="D290" s="15"/>
      <c r="E290" s="11"/>
      <c r="F290" s="11" t="str">
        <f aca="false">IF($D290="","",$D290*$E290)</f>
        <v/>
      </c>
      <c r="G290" s="11" t="str">
        <f aca="false">IFERROR(IF($B290="","",INDEX(Inventory!$G$3:$G$253,MATCH($B290,Inventory!$A$3:$A$253,0))),"")</f>
        <v/>
      </c>
      <c r="H290" s="11" t="str">
        <f aca="false">IF($D290="","",$D290*IFERROR($G290+0,0))</f>
        <v/>
      </c>
      <c r="I290" s="11"/>
      <c r="J290" s="11"/>
      <c r="K290" s="11" t="str">
        <f aca="false">IF($F290="","",$F290-$I290-$J290)</f>
        <v/>
      </c>
      <c r="L290" s="11" t="str">
        <f aca="false">IF($K290="","",$K290-$H290)</f>
        <v/>
      </c>
      <c r="M290" s="12" t="str">
        <f aca="false">IF(OR($F290="",$F290=0),"",$L290/$F290)</f>
        <v/>
      </c>
      <c r="N290" s="14"/>
      <c r="O290" s="14"/>
      <c r="P290" s="14"/>
      <c r="Q290" s="14"/>
    </row>
    <row r="291" customFormat="false" ht="15" hidden="false" customHeight="false" outlineLevel="0" collapsed="false">
      <c r="A291" s="16"/>
      <c r="B291" s="14"/>
      <c r="C291" s="14" t="str">
        <f aca="false">IFERROR(IF($B291="","",INDEX(Inventory!$B$3:$B$253,MATCH($B291,Inventory!$A$3:$A$253,0))),"")</f>
        <v/>
      </c>
      <c r="D291" s="15"/>
      <c r="E291" s="11"/>
      <c r="F291" s="11" t="str">
        <f aca="false">IF($D291="","",$D291*$E291)</f>
        <v/>
      </c>
      <c r="G291" s="11" t="str">
        <f aca="false">IFERROR(IF($B291="","",INDEX(Inventory!$G$3:$G$253,MATCH($B291,Inventory!$A$3:$A$253,0))),"")</f>
        <v/>
      </c>
      <c r="H291" s="11" t="str">
        <f aca="false">IF($D291="","",$D291*IFERROR($G291+0,0))</f>
        <v/>
      </c>
      <c r="I291" s="11"/>
      <c r="J291" s="11"/>
      <c r="K291" s="11" t="str">
        <f aca="false">IF($F291="","",$F291-$I291-$J291)</f>
        <v/>
      </c>
      <c r="L291" s="11" t="str">
        <f aca="false">IF($K291="","",$K291-$H291)</f>
        <v/>
      </c>
      <c r="M291" s="12" t="str">
        <f aca="false">IF(OR($F291="",$F291=0),"",$L291/$F291)</f>
        <v/>
      </c>
      <c r="N291" s="14"/>
      <c r="O291" s="14"/>
      <c r="P291" s="14"/>
      <c r="Q291" s="14"/>
    </row>
    <row r="292" customFormat="false" ht="15" hidden="false" customHeight="false" outlineLevel="0" collapsed="false">
      <c r="A292" s="16"/>
      <c r="B292" s="14"/>
      <c r="C292" s="14" t="str">
        <f aca="false">IFERROR(IF($B292="","",INDEX(Inventory!$B$3:$B$253,MATCH($B292,Inventory!$A$3:$A$253,0))),"")</f>
        <v/>
      </c>
      <c r="D292" s="15"/>
      <c r="E292" s="11"/>
      <c r="F292" s="11" t="str">
        <f aca="false">IF($D292="","",$D292*$E292)</f>
        <v/>
      </c>
      <c r="G292" s="11" t="str">
        <f aca="false">IFERROR(IF($B292="","",INDEX(Inventory!$G$3:$G$253,MATCH($B292,Inventory!$A$3:$A$253,0))),"")</f>
        <v/>
      </c>
      <c r="H292" s="11" t="str">
        <f aca="false">IF($D292="","",$D292*IFERROR($G292+0,0))</f>
        <v/>
      </c>
      <c r="I292" s="11"/>
      <c r="J292" s="11"/>
      <c r="K292" s="11" t="str">
        <f aca="false">IF($F292="","",$F292-$I292-$J292)</f>
        <v/>
      </c>
      <c r="L292" s="11" t="str">
        <f aca="false">IF($K292="","",$K292-$H292)</f>
        <v/>
      </c>
      <c r="M292" s="12" t="str">
        <f aca="false">IF(OR($F292="",$F292=0),"",$L292/$F292)</f>
        <v/>
      </c>
      <c r="N292" s="14"/>
      <c r="O292" s="14"/>
      <c r="P292" s="14"/>
      <c r="Q292" s="14"/>
    </row>
    <row r="293" customFormat="false" ht="15" hidden="false" customHeight="false" outlineLevel="0" collapsed="false">
      <c r="A293" s="16"/>
      <c r="B293" s="14"/>
      <c r="C293" s="14" t="str">
        <f aca="false">IFERROR(IF($B293="","",INDEX(Inventory!$B$3:$B$253,MATCH($B293,Inventory!$A$3:$A$253,0))),"")</f>
        <v/>
      </c>
      <c r="D293" s="15"/>
      <c r="E293" s="11"/>
      <c r="F293" s="11" t="str">
        <f aca="false">IF($D293="","",$D293*$E293)</f>
        <v/>
      </c>
      <c r="G293" s="11" t="str">
        <f aca="false">IFERROR(IF($B293="","",INDEX(Inventory!$G$3:$G$253,MATCH($B293,Inventory!$A$3:$A$253,0))),"")</f>
        <v/>
      </c>
      <c r="H293" s="11" t="str">
        <f aca="false">IF($D293="","",$D293*IFERROR($G293+0,0))</f>
        <v/>
      </c>
      <c r="I293" s="11"/>
      <c r="J293" s="11"/>
      <c r="K293" s="11" t="str">
        <f aca="false">IF($F293="","",$F293-$I293-$J293)</f>
        <v/>
      </c>
      <c r="L293" s="11" t="str">
        <f aca="false">IF($K293="","",$K293-$H293)</f>
        <v/>
      </c>
      <c r="M293" s="12" t="str">
        <f aca="false">IF(OR($F293="",$F293=0),"",$L293/$F293)</f>
        <v/>
      </c>
      <c r="N293" s="14"/>
      <c r="O293" s="14"/>
      <c r="P293" s="14"/>
      <c r="Q293" s="14"/>
    </row>
    <row r="294" customFormat="false" ht="15" hidden="false" customHeight="false" outlineLevel="0" collapsed="false">
      <c r="A294" s="16"/>
      <c r="B294" s="14"/>
      <c r="C294" s="14" t="str">
        <f aca="false">IFERROR(IF($B294="","",INDEX(Inventory!$B$3:$B$253,MATCH($B294,Inventory!$A$3:$A$253,0))),"")</f>
        <v/>
      </c>
      <c r="D294" s="15"/>
      <c r="E294" s="11"/>
      <c r="F294" s="11" t="str">
        <f aca="false">IF($D294="","",$D294*$E294)</f>
        <v/>
      </c>
      <c r="G294" s="11" t="str">
        <f aca="false">IFERROR(IF($B294="","",INDEX(Inventory!$G$3:$G$253,MATCH($B294,Inventory!$A$3:$A$253,0))),"")</f>
        <v/>
      </c>
      <c r="H294" s="11" t="str">
        <f aca="false">IF($D294="","",$D294*IFERROR($G294+0,0))</f>
        <v/>
      </c>
      <c r="I294" s="11"/>
      <c r="J294" s="11"/>
      <c r="K294" s="11" t="str">
        <f aca="false">IF($F294="","",$F294-$I294-$J294)</f>
        <v/>
      </c>
      <c r="L294" s="11" t="str">
        <f aca="false">IF($K294="","",$K294-$H294)</f>
        <v/>
      </c>
      <c r="M294" s="12" t="str">
        <f aca="false">IF(OR($F294="",$F294=0),"",$L294/$F294)</f>
        <v/>
      </c>
      <c r="N294" s="14"/>
      <c r="O294" s="14"/>
      <c r="P294" s="14"/>
      <c r="Q294" s="14"/>
    </row>
    <row r="295" customFormat="false" ht="15" hidden="false" customHeight="false" outlineLevel="0" collapsed="false">
      <c r="A295" s="16"/>
      <c r="B295" s="14"/>
      <c r="C295" s="14" t="str">
        <f aca="false">IFERROR(IF($B295="","",INDEX(Inventory!$B$3:$B$253,MATCH($B295,Inventory!$A$3:$A$253,0))),"")</f>
        <v/>
      </c>
      <c r="D295" s="15"/>
      <c r="E295" s="11"/>
      <c r="F295" s="11" t="str">
        <f aca="false">IF($D295="","",$D295*$E295)</f>
        <v/>
      </c>
      <c r="G295" s="11" t="str">
        <f aca="false">IFERROR(IF($B295="","",INDEX(Inventory!$G$3:$G$253,MATCH($B295,Inventory!$A$3:$A$253,0))),"")</f>
        <v/>
      </c>
      <c r="H295" s="11" t="str">
        <f aca="false">IF($D295="","",$D295*IFERROR($G295+0,0))</f>
        <v/>
      </c>
      <c r="I295" s="11"/>
      <c r="J295" s="11"/>
      <c r="K295" s="11" t="str">
        <f aca="false">IF($F295="","",$F295-$I295-$J295)</f>
        <v/>
      </c>
      <c r="L295" s="11" t="str">
        <f aca="false">IF($K295="","",$K295-$H295)</f>
        <v/>
      </c>
      <c r="M295" s="12" t="str">
        <f aca="false">IF(OR($F295="",$F295=0),"",$L295/$F295)</f>
        <v/>
      </c>
      <c r="N295" s="14"/>
      <c r="O295" s="14"/>
      <c r="P295" s="14"/>
      <c r="Q295" s="14"/>
    </row>
    <row r="296" customFormat="false" ht="15" hidden="false" customHeight="false" outlineLevel="0" collapsed="false">
      <c r="A296" s="16"/>
      <c r="B296" s="14"/>
      <c r="C296" s="14" t="str">
        <f aca="false">IFERROR(IF($B296="","",INDEX(Inventory!$B$3:$B$253,MATCH($B296,Inventory!$A$3:$A$253,0))),"")</f>
        <v/>
      </c>
      <c r="D296" s="15"/>
      <c r="E296" s="11"/>
      <c r="F296" s="11" t="str">
        <f aca="false">IF($D296="","",$D296*$E296)</f>
        <v/>
      </c>
      <c r="G296" s="11" t="str">
        <f aca="false">IFERROR(IF($B296="","",INDEX(Inventory!$G$3:$G$253,MATCH($B296,Inventory!$A$3:$A$253,0))),"")</f>
        <v/>
      </c>
      <c r="H296" s="11" t="str">
        <f aca="false">IF($D296="","",$D296*IFERROR($G296+0,0))</f>
        <v/>
      </c>
      <c r="I296" s="11"/>
      <c r="J296" s="11"/>
      <c r="K296" s="11" t="str">
        <f aca="false">IF($F296="","",$F296-$I296-$J296)</f>
        <v/>
      </c>
      <c r="L296" s="11" t="str">
        <f aca="false">IF($K296="","",$K296-$H296)</f>
        <v/>
      </c>
      <c r="M296" s="12" t="str">
        <f aca="false">IF(OR($F296="",$F296=0),"",$L296/$F296)</f>
        <v/>
      </c>
      <c r="N296" s="14"/>
      <c r="O296" s="14"/>
      <c r="P296" s="14"/>
      <c r="Q296" s="14"/>
    </row>
    <row r="297" customFormat="false" ht="15" hidden="false" customHeight="false" outlineLevel="0" collapsed="false">
      <c r="A297" s="16"/>
      <c r="B297" s="14"/>
      <c r="C297" s="14" t="str">
        <f aca="false">IFERROR(IF($B297="","",INDEX(Inventory!$B$3:$B$253,MATCH($B297,Inventory!$A$3:$A$253,0))),"")</f>
        <v/>
      </c>
      <c r="D297" s="15"/>
      <c r="E297" s="11"/>
      <c r="F297" s="11" t="str">
        <f aca="false">IF($D297="","",$D297*$E297)</f>
        <v/>
      </c>
      <c r="G297" s="11" t="str">
        <f aca="false">IFERROR(IF($B297="","",INDEX(Inventory!$G$3:$G$253,MATCH($B297,Inventory!$A$3:$A$253,0))),"")</f>
        <v/>
      </c>
      <c r="H297" s="11" t="str">
        <f aca="false">IF($D297="","",$D297*IFERROR($G297+0,0))</f>
        <v/>
      </c>
      <c r="I297" s="11"/>
      <c r="J297" s="11"/>
      <c r="K297" s="11" t="str">
        <f aca="false">IF($F297="","",$F297-$I297-$J297)</f>
        <v/>
      </c>
      <c r="L297" s="11" t="str">
        <f aca="false">IF($K297="","",$K297-$H297)</f>
        <v/>
      </c>
      <c r="M297" s="12" t="str">
        <f aca="false">IF(OR($F297="",$F297=0),"",$L297/$F297)</f>
        <v/>
      </c>
      <c r="N297" s="14"/>
      <c r="O297" s="14"/>
      <c r="P297" s="14"/>
      <c r="Q297" s="14"/>
    </row>
    <row r="298" customFormat="false" ht="15" hidden="false" customHeight="false" outlineLevel="0" collapsed="false">
      <c r="A298" s="16"/>
      <c r="B298" s="14"/>
      <c r="C298" s="14" t="str">
        <f aca="false">IFERROR(IF($B298="","",INDEX(Inventory!$B$3:$B$253,MATCH($B298,Inventory!$A$3:$A$253,0))),"")</f>
        <v/>
      </c>
      <c r="D298" s="15"/>
      <c r="E298" s="11"/>
      <c r="F298" s="11" t="str">
        <f aca="false">IF($D298="","",$D298*$E298)</f>
        <v/>
      </c>
      <c r="G298" s="11" t="str">
        <f aca="false">IFERROR(IF($B298="","",INDEX(Inventory!$G$3:$G$253,MATCH($B298,Inventory!$A$3:$A$253,0))),"")</f>
        <v/>
      </c>
      <c r="H298" s="11" t="str">
        <f aca="false">IF($D298="","",$D298*IFERROR($G298+0,0))</f>
        <v/>
      </c>
      <c r="I298" s="11"/>
      <c r="J298" s="11"/>
      <c r="K298" s="11" t="str">
        <f aca="false">IF($F298="","",$F298-$I298-$J298)</f>
        <v/>
      </c>
      <c r="L298" s="11" t="str">
        <f aca="false">IF($K298="","",$K298-$H298)</f>
        <v/>
      </c>
      <c r="M298" s="12" t="str">
        <f aca="false">IF(OR($F298="",$F298=0),"",$L298/$F298)</f>
        <v/>
      </c>
      <c r="N298" s="14"/>
      <c r="O298" s="14"/>
      <c r="P298" s="14"/>
      <c r="Q298" s="14"/>
    </row>
    <row r="299" customFormat="false" ht="15" hidden="false" customHeight="false" outlineLevel="0" collapsed="false">
      <c r="A299" s="16"/>
      <c r="B299" s="14"/>
      <c r="C299" s="14" t="str">
        <f aca="false">IFERROR(IF($B299="","",INDEX(Inventory!$B$3:$B$253,MATCH($B299,Inventory!$A$3:$A$253,0))),"")</f>
        <v/>
      </c>
      <c r="D299" s="15"/>
      <c r="E299" s="11"/>
      <c r="F299" s="11" t="str">
        <f aca="false">IF($D299="","",$D299*$E299)</f>
        <v/>
      </c>
      <c r="G299" s="11" t="str">
        <f aca="false">IFERROR(IF($B299="","",INDEX(Inventory!$G$3:$G$253,MATCH($B299,Inventory!$A$3:$A$253,0))),"")</f>
        <v/>
      </c>
      <c r="H299" s="11" t="str">
        <f aca="false">IF($D299="","",$D299*IFERROR($G299+0,0))</f>
        <v/>
      </c>
      <c r="I299" s="11"/>
      <c r="J299" s="11"/>
      <c r="K299" s="11" t="str">
        <f aca="false">IF($F299="","",$F299-$I299-$J299)</f>
        <v/>
      </c>
      <c r="L299" s="11" t="str">
        <f aca="false">IF($K299="","",$K299-$H299)</f>
        <v/>
      </c>
      <c r="M299" s="12" t="str">
        <f aca="false">IF(OR($F299="",$F299=0),"",$L299/$F299)</f>
        <v/>
      </c>
      <c r="N299" s="14"/>
      <c r="O299" s="14"/>
      <c r="P299" s="14"/>
      <c r="Q299" s="14"/>
    </row>
    <row r="300" customFormat="false" ht="15" hidden="false" customHeight="false" outlineLevel="0" collapsed="false">
      <c r="A300" s="16"/>
      <c r="B300" s="14"/>
      <c r="C300" s="14" t="str">
        <f aca="false">IFERROR(IF($B300="","",INDEX(Inventory!$B$3:$B$253,MATCH($B300,Inventory!$A$3:$A$253,0))),"")</f>
        <v/>
      </c>
      <c r="D300" s="15"/>
      <c r="E300" s="11"/>
      <c r="F300" s="11" t="str">
        <f aca="false">IF($D300="","",$D300*$E300)</f>
        <v/>
      </c>
      <c r="G300" s="11" t="str">
        <f aca="false">IFERROR(IF($B300="","",INDEX(Inventory!$G$3:$G$253,MATCH($B300,Inventory!$A$3:$A$253,0))),"")</f>
        <v/>
      </c>
      <c r="H300" s="11" t="str">
        <f aca="false">IF($D300="","",$D300*IFERROR($G300+0,0))</f>
        <v/>
      </c>
      <c r="I300" s="11"/>
      <c r="J300" s="11"/>
      <c r="K300" s="11" t="str">
        <f aca="false">IF($F300="","",$F300-$I300-$J300)</f>
        <v/>
      </c>
      <c r="L300" s="11" t="str">
        <f aca="false">IF($K300="","",$K300-$H300)</f>
        <v/>
      </c>
      <c r="M300" s="12" t="str">
        <f aca="false">IF(OR($F300="",$F300=0),"",$L300/$F300)</f>
        <v/>
      </c>
      <c r="N300" s="14"/>
      <c r="O300" s="14"/>
      <c r="P300" s="14"/>
      <c r="Q300" s="14"/>
    </row>
    <row r="301" customFormat="false" ht="15" hidden="false" customHeight="false" outlineLevel="0" collapsed="false">
      <c r="A301" s="16"/>
      <c r="B301" s="14"/>
      <c r="C301" s="14" t="str">
        <f aca="false">IFERROR(IF($B301="","",INDEX(Inventory!$B$3:$B$253,MATCH($B301,Inventory!$A$3:$A$253,0))),"")</f>
        <v/>
      </c>
      <c r="D301" s="15"/>
      <c r="E301" s="11"/>
      <c r="F301" s="11" t="str">
        <f aca="false">IF($D301="","",$D301*$E301)</f>
        <v/>
      </c>
      <c r="G301" s="11" t="str">
        <f aca="false">IFERROR(IF($B301="","",INDEX(Inventory!$G$3:$G$253,MATCH($B301,Inventory!$A$3:$A$253,0))),"")</f>
        <v/>
      </c>
      <c r="H301" s="11" t="str">
        <f aca="false">IF($D301="","",$D301*IFERROR($G301+0,0))</f>
        <v/>
      </c>
      <c r="I301" s="11"/>
      <c r="J301" s="11"/>
      <c r="K301" s="11" t="str">
        <f aca="false">IF($F301="","",$F301-$I301-$J301)</f>
        <v/>
      </c>
      <c r="L301" s="11" t="str">
        <f aca="false">IF($K301="","",$K301-$H301)</f>
        <v/>
      </c>
      <c r="M301" s="12" t="str">
        <f aca="false">IF(OR($F301="",$F301=0),"",$L301/$F301)</f>
        <v/>
      </c>
      <c r="N301" s="14"/>
      <c r="O301" s="14"/>
      <c r="P301" s="14"/>
      <c r="Q301" s="14"/>
    </row>
    <row r="302" customFormat="false" ht="15" hidden="false" customHeight="false" outlineLevel="0" collapsed="false">
      <c r="A302" s="16"/>
      <c r="B302" s="14"/>
      <c r="C302" s="14" t="str">
        <f aca="false">IFERROR(IF($B302="","",INDEX(Inventory!$B$3:$B$253,MATCH($B302,Inventory!$A$3:$A$253,0))),"")</f>
        <v/>
      </c>
      <c r="D302" s="15"/>
      <c r="E302" s="11"/>
      <c r="F302" s="11" t="str">
        <f aca="false">IF($D302="","",$D302*$E302)</f>
        <v/>
      </c>
      <c r="G302" s="11" t="str">
        <f aca="false">IFERROR(IF($B302="","",INDEX(Inventory!$G$3:$G$253,MATCH($B302,Inventory!$A$3:$A$253,0))),"")</f>
        <v/>
      </c>
      <c r="H302" s="11" t="str">
        <f aca="false">IF($D302="","",$D302*IFERROR($G302+0,0))</f>
        <v/>
      </c>
      <c r="I302" s="11"/>
      <c r="J302" s="11"/>
      <c r="K302" s="11" t="str">
        <f aca="false">IF($F302="","",$F302-$I302-$J302)</f>
        <v/>
      </c>
      <c r="L302" s="11" t="str">
        <f aca="false">IF($K302="","",$K302-$H302)</f>
        <v/>
      </c>
      <c r="M302" s="12" t="str">
        <f aca="false">IF(OR($F302="",$F302=0),"",$L302/$F302)</f>
        <v/>
      </c>
      <c r="N302" s="14"/>
      <c r="O302" s="14"/>
      <c r="P302" s="14"/>
      <c r="Q302" s="14"/>
    </row>
    <row r="303" customFormat="false" ht="15" hidden="false" customHeight="false" outlineLevel="0" collapsed="false">
      <c r="A303" s="16"/>
      <c r="B303" s="14"/>
      <c r="C303" s="14" t="str">
        <f aca="false">IFERROR(IF($B303="","",INDEX(Inventory!$B$3:$B$253,MATCH($B303,Inventory!$A$3:$A$253,0))),"")</f>
        <v/>
      </c>
      <c r="D303" s="15"/>
      <c r="E303" s="11"/>
      <c r="F303" s="11" t="str">
        <f aca="false">IF($D303="","",$D303*$E303)</f>
        <v/>
      </c>
      <c r="G303" s="11" t="str">
        <f aca="false">IFERROR(IF($B303="","",INDEX(Inventory!$G$3:$G$253,MATCH($B303,Inventory!$A$3:$A$253,0))),"")</f>
        <v/>
      </c>
      <c r="H303" s="11" t="str">
        <f aca="false">IF($D303="","",$D303*IFERROR($G303+0,0))</f>
        <v/>
      </c>
      <c r="I303" s="11"/>
      <c r="J303" s="11"/>
      <c r="K303" s="11" t="str">
        <f aca="false">IF($F303="","",$F303-$I303-$J303)</f>
        <v/>
      </c>
      <c r="L303" s="11" t="str">
        <f aca="false">IF($K303="","",$K303-$H303)</f>
        <v/>
      </c>
      <c r="M303" s="12" t="str">
        <f aca="false">IF(OR($F303="",$F303=0),"",$L303/$F303)</f>
        <v/>
      </c>
      <c r="N303" s="14"/>
      <c r="O303" s="14"/>
      <c r="P303" s="14"/>
      <c r="Q303" s="14"/>
    </row>
    <row r="304" customFormat="false" ht="15" hidden="false" customHeight="false" outlineLevel="0" collapsed="false">
      <c r="A304" s="16"/>
      <c r="B304" s="14"/>
      <c r="C304" s="14" t="str">
        <f aca="false">IFERROR(IF($B304="","",INDEX(Inventory!$B$3:$B$253,MATCH($B304,Inventory!$A$3:$A$253,0))),"")</f>
        <v/>
      </c>
      <c r="D304" s="15"/>
      <c r="E304" s="11"/>
      <c r="F304" s="11" t="str">
        <f aca="false">IF($D304="","",$D304*$E304)</f>
        <v/>
      </c>
      <c r="G304" s="11" t="str">
        <f aca="false">IFERROR(IF($B304="","",INDEX(Inventory!$G$3:$G$253,MATCH($B304,Inventory!$A$3:$A$253,0))),"")</f>
        <v/>
      </c>
      <c r="H304" s="11" t="str">
        <f aca="false">IF($D304="","",$D304*IFERROR($G304+0,0))</f>
        <v/>
      </c>
      <c r="I304" s="11"/>
      <c r="J304" s="11"/>
      <c r="K304" s="11" t="str">
        <f aca="false">IF($F304="","",$F304-$I304-$J304)</f>
        <v/>
      </c>
      <c r="L304" s="11" t="str">
        <f aca="false">IF($K304="","",$K304-$H304)</f>
        <v/>
      </c>
      <c r="M304" s="12" t="str">
        <f aca="false">IF(OR($F304="",$F304=0),"",$L304/$F304)</f>
        <v/>
      </c>
      <c r="N304" s="14"/>
      <c r="O304" s="14"/>
      <c r="P304" s="14"/>
      <c r="Q304" s="14"/>
    </row>
    <row r="305" customFormat="false" ht="15" hidden="false" customHeight="false" outlineLevel="0" collapsed="false">
      <c r="A305" s="16"/>
      <c r="B305" s="14"/>
      <c r="C305" s="14" t="str">
        <f aca="false">IFERROR(IF($B305="","",INDEX(Inventory!$B$3:$B$253,MATCH($B305,Inventory!$A$3:$A$253,0))),"")</f>
        <v/>
      </c>
      <c r="D305" s="15"/>
      <c r="E305" s="11"/>
      <c r="F305" s="11" t="str">
        <f aca="false">IF($D305="","",$D305*$E305)</f>
        <v/>
      </c>
      <c r="G305" s="11" t="str">
        <f aca="false">IFERROR(IF($B305="","",INDEX(Inventory!$G$3:$G$253,MATCH($B305,Inventory!$A$3:$A$253,0))),"")</f>
        <v/>
      </c>
      <c r="H305" s="11" t="str">
        <f aca="false">IF($D305="","",$D305*IFERROR($G305+0,0))</f>
        <v/>
      </c>
      <c r="I305" s="11"/>
      <c r="J305" s="11"/>
      <c r="K305" s="11" t="str">
        <f aca="false">IF($F305="","",$F305-$I305-$J305)</f>
        <v/>
      </c>
      <c r="L305" s="11" t="str">
        <f aca="false">IF($K305="","",$K305-$H305)</f>
        <v/>
      </c>
      <c r="M305" s="12" t="str">
        <f aca="false">IF(OR($F305="",$F305=0),"",$L305/$F305)</f>
        <v/>
      </c>
      <c r="N305" s="14"/>
      <c r="O305" s="14"/>
      <c r="P305" s="14"/>
      <c r="Q305" s="14"/>
    </row>
    <row r="306" customFormat="false" ht="15" hidden="false" customHeight="false" outlineLevel="0" collapsed="false">
      <c r="A306" s="16"/>
      <c r="B306" s="14"/>
      <c r="C306" s="14" t="str">
        <f aca="false">IFERROR(IF($B306="","",INDEX(Inventory!$B$3:$B$253,MATCH($B306,Inventory!$A$3:$A$253,0))),"")</f>
        <v/>
      </c>
      <c r="D306" s="15"/>
      <c r="E306" s="11"/>
      <c r="F306" s="11" t="str">
        <f aca="false">IF($D306="","",$D306*$E306)</f>
        <v/>
      </c>
      <c r="G306" s="11" t="str">
        <f aca="false">IFERROR(IF($B306="","",INDEX(Inventory!$G$3:$G$253,MATCH($B306,Inventory!$A$3:$A$253,0))),"")</f>
        <v/>
      </c>
      <c r="H306" s="11" t="str">
        <f aca="false">IF($D306="","",$D306*IFERROR($G306+0,0))</f>
        <v/>
      </c>
      <c r="I306" s="11"/>
      <c r="J306" s="11"/>
      <c r="K306" s="11" t="str">
        <f aca="false">IF($F306="","",$F306-$I306-$J306)</f>
        <v/>
      </c>
      <c r="L306" s="11" t="str">
        <f aca="false">IF($K306="","",$K306-$H306)</f>
        <v/>
      </c>
      <c r="M306" s="12" t="str">
        <f aca="false">IF(OR($F306="",$F306=0),"",$L306/$F306)</f>
        <v/>
      </c>
      <c r="N306" s="14"/>
      <c r="O306" s="14"/>
      <c r="P306" s="14"/>
      <c r="Q306" s="14"/>
    </row>
    <row r="307" customFormat="false" ht="15" hidden="false" customHeight="false" outlineLevel="0" collapsed="false">
      <c r="A307" s="16"/>
      <c r="B307" s="14"/>
      <c r="C307" s="14" t="str">
        <f aca="false">IFERROR(IF($B307="","",INDEX(Inventory!$B$3:$B$253,MATCH($B307,Inventory!$A$3:$A$253,0))),"")</f>
        <v/>
      </c>
      <c r="D307" s="15"/>
      <c r="E307" s="11"/>
      <c r="F307" s="11" t="str">
        <f aca="false">IF($D307="","",$D307*$E307)</f>
        <v/>
      </c>
      <c r="G307" s="11" t="str">
        <f aca="false">IFERROR(IF($B307="","",INDEX(Inventory!$G$3:$G$253,MATCH($B307,Inventory!$A$3:$A$253,0))),"")</f>
        <v/>
      </c>
      <c r="H307" s="11" t="str">
        <f aca="false">IF($D307="","",$D307*IFERROR($G307+0,0))</f>
        <v/>
      </c>
      <c r="I307" s="11"/>
      <c r="J307" s="11"/>
      <c r="K307" s="11" t="str">
        <f aca="false">IF($F307="","",$F307-$I307-$J307)</f>
        <v/>
      </c>
      <c r="L307" s="11" t="str">
        <f aca="false">IF($K307="","",$K307-$H307)</f>
        <v/>
      </c>
      <c r="M307" s="12" t="str">
        <f aca="false">IF(OR($F307="",$F307=0),"",$L307/$F307)</f>
        <v/>
      </c>
      <c r="N307" s="14"/>
      <c r="O307" s="14"/>
      <c r="P307" s="14"/>
      <c r="Q307" s="14"/>
    </row>
    <row r="308" customFormat="false" ht="15" hidden="false" customHeight="false" outlineLevel="0" collapsed="false">
      <c r="A308" s="16"/>
      <c r="B308" s="14"/>
      <c r="C308" s="14" t="str">
        <f aca="false">IFERROR(IF($B308="","",INDEX(Inventory!$B$3:$B$253,MATCH($B308,Inventory!$A$3:$A$253,0))),"")</f>
        <v/>
      </c>
      <c r="D308" s="15"/>
      <c r="E308" s="11"/>
      <c r="F308" s="11" t="str">
        <f aca="false">IF($D308="","",$D308*$E308)</f>
        <v/>
      </c>
      <c r="G308" s="11" t="str">
        <f aca="false">IFERROR(IF($B308="","",INDEX(Inventory!$G$3:$G$253,MATCH($B308,Inventory!$A$3:$A$253,0))),"")</f>
        <v/>
      </c>
      <c r="H308" s="11" t="str">
        <f aca="false">IF($D308="","",$D308*IFERROR($G308+0,0))</f>
        <v/>
      </c>
      <c r="I308" s="11"/>
      <c r="J308" s="11"/>
      <c r="K308" s="11" t="str">
        <f aca="false">IF($F308="","",$F308-$I308-$J308)</f>
        <v/>
      </c>
      <c r="L308" s="11" t="str">
        <f aca="false">IF($K308="","",$K308-$H308)</f>
        <v/>
      </c>
      <c r="M308" s="12" t="str">
        <f aca="false">IF(OR($F308="",$F308=0),"",$L308/$F308)</f>
        <v/>
      </c>
      <c r="N308" s="14"/>
      <c r="O308" s="14"/>
      <c r="P308" s="14"/>
      <c r="Q308" s="14"/>
    </row>
    <row r="309" customFormat="false" ht="15" hidden="false" customHeight="false" outlineLevel="0" collapsed="false">
      <c r="A309" s="16"/>
      <c r="B309" s="14"/>
      <c r="C309" s="14" t="str">
        <f aca="false">IFERROR(IF($B309="","",INDEX(Inventory!$B$3:$B$253,MATCH($B309,Inventory!$A$3:$A$253,0))),"")</f>
        <v/>
      </c>
      <c r="D309" s="15"/>
      <c r="E309" s="11"/>
      <c r="F309" s="11" t="str">
        <f aca="false">IF($D309="","",$D309*$E309)</f>
        <v/>
      </c>
      <c r="G309" s="11" t="str">
        <f aca="false">IFERROR(IF($B309="","",INDEX(Inventory!$G$3:$G$253,MATCH($B309,Inventory!$A$3:$A$253,0))),"")</f>
        <v/>
      </c>
      <c r="H309" s="11" t="str">
        <f aca="false">IF($D309="","",$D309*IFERROR($G309+0,0))</f>
        <v/>
      </c>
      <c r="I309" s="11"/>
      <c r="J309" s="11"/>
      <c r="K309" s="11" t="str">
        <f aca="false">IF($F309="","",$F309-$I309-$J309)</f>
        <v/>
      </c>
      <c r="L309" s="11" t="str">
        <f aca="false">IF($K309="","",$K309-$H309)</f>
        <v/>
      </c>
      <c r="M309" s="12" t="str">
        <f aca="false">IF(OR($F309="",$F309=0),"",$L309/$F309)</f>
        <v/>
      </c>
      <c r="N309" s="14"/>
      <c r="O309" s="14"/>
      <c r="P309" s="14"/>
      <c r="Q309" s="14"/>
    </row>
    <row r="310" customFormat="false" ht="15" hidden="false" customHeight="false" outlineLevel="0" collapsed="false">
      <c r="A310" s="16"/>
      <c r="B310" s="14"/>
      <c r="C310" s="14" t="str">
        <f aca="false">IFERROR(IF($B310="","",INDEX(Inventory!$B$3:$B$253,MATCH($B310,Inventory!$A$3:$A$253,0))),"")</f>
        <v/>
      </c>
      <c r="D310" s="15"/>
      <c r="E310" s="11"/>
      <c r="F310" s="11" t="str">
        <f aca="false">IF($D310="","",$D310*$E310)</f>
        <v/>
      </c>
      <c r="G310" s="11" t="str">
        <f aca="false">IFERROR(IF($B310="","",INDEX(Inventory!$G$3:$G$253,MATCH($B310,Inventory!$A$3:$A$253,0))),"")</f>
        <v/>
      </c>
      <c r="H310" s="11" t="str">
        <f aca="false">IF($D310="","",$D310*IFERROR($G310+0,0))</f>
        <v/>
      </c>
      <c r="I310" s="11"/>
      <c r="J310" s="11"/>
      <c r="K310" s="11" t="str">
        <f aca="false">IF($F310="","",$F310-$I310-$J310)</f>
        <v/>
      </c>
      <c r="L310" s="11" t="str">
        <f aca="false">IF($K310="","",$K310-$H310)</f>
        <v/>
      </c>
      <c r="M310" s="12" t="str">
        <f aca="false">IF(OR($F310="",$F310=0),"",$L310/$F310)</f>
        <v/>
      </c>
      <c r="N310" s="14"/>
      <c r="O310" s="14"/>
      <c r="P310" s="14"/>
      <c r="Q310" s="14"/>
    </row>
    <row r="311" customFormat="false" ht="15" hidden="false" customHeight="false" outlineLevel="0" collapsed="false">
      <c r="A311" s="16"/>
      <c r="B311" s="14"/>
      <c r="C311" s="14" t="str">
        <f aca="false">IFERROR(IF($B311="","",INDEX(Inventory!$B$3:$B$253,MATCH($B311,Inventory!$A$3:$A$253,0))),"")</f>
        <v/>
      </c>
      <c r="D311" s="15"/>
      <c r="E311" s="11"/>
      <c r="F311" s="11" t="str">
        <f aca="false">IF($D311="","",$D311*$E311)</f>
        <v/>
      </c>
      <c r="G311" s="11" t="str">
        <f aca="false">IFERROR(IF($B311="","",INDEX(Inventory!$G$3:$G$253,MATCH($B311,Inventory!$A$3:$A$253,0))),"")</f>
        <v/>
      </c>
      <c r="H311" s="11" t="str">
        <f aca="false">IF($D311="","",$D311*IFERROR($G311+0,0))</f>
        <v/>
      </c>
      <c r="I311" s="11"/>
      <c r="J311" s="11"/>
      <c r="K311" s="11" t="str">
        <f aca="false">IF($F311="","",$F311-$I311-$J311)</f>
        <v/>
      </c>
      <c r="L311" s="11" t="str">
        <f aca="false">IF($K311="","",$K311-$H311)</f>
        <v/>
      </c>
      <c r="M311" s="12" t="str">
        <f aca="false">IF(OR($F311="",$F311=0),"",$L311/$F311)</f>
        <v/>
      </c>
      <c r="N311" s="14"/>
      <c r="O311" s="14"/>
      <c r="P311" s="14"/>
      <c r="Q311" s="14"/>
    </row>
    <row r="312" customFormat="false" ht="15" hidden="false" customHeight="false" outlineLevel="0" collapsed="false">
      <c r="A312" s="16"/>
      <c r="B312" s="14"/>
      <c r="C312" s="14" t="str">
        <f aca="false">IFERROR(IF($B312="","",INDEX(Inventory!$B$3:$B$253,MATCH($B312,Inventory!$A$3:$A$253,0))),"")</f>
        <v/>
      </c>
      <c r="D312" s="15"/>
      <c r="E312" s="11"/>
      <c r="F312" s="11" t="str">
        <f aca="false">IF($D312="","",$D312*$E312)</f>
        <v/>
      </c>
      <c r="G312" s="11" t="str">
        <f aca="false">IFERROR(IF($B312="","",INDEX(Inventory!$G$3:$G$253,MATCH($B312,Inventory!$A$3:$A$253,0))),"")</f>
        <v/>
      </c>
      <c r="H312" s="11" t="str">
        <f aca="false">IF($D312="","",$D312*IFERROR($G312+0,0))</f>
        <v/>
      </c>
      <c r="I312" s="11"/>
      <c r="J312" s="11"/>
      <c r="K312" s="11" t="str">
        <f aca="false">IF($F312="","",$F312-$I312-$J312)</f>
        <v/>
      </c>
      <c r="L312" s="11" t="str">
        <f aca="false">IF($K312="","",$K312-$H312)</f>
        <v/>
      </c>
      <c r="M312" s="12" t="str">
        <f aca="false">IF(OR($F312="",$F312=0),"",$L312/$F312)</f>
        <v/>
      </c>
      <c r="N312" s="14"/>
      <c r="O312" s="14"/>
      <c r="P312" s="14"/>
      <c r="Q312" s="14"/>
    </row>
    <row r="313" customFormat="false" ht="15" hidden="false" customHeight="false" outlineLevel="0" collapsed="false">
      <c r="A313" s="16"/>
      <c r="B313" s="14"/>
      <c r="C313" s="14" t="str">
        <f aca="false">IFERROR(IF($B313="","",INDEX(Inventory!$B$3:$B$253,MATCH($B313,Inventory!$A$3:$A$253,0))),"")</f>
        <v/>
      </c>
      <c r="D313" s="15"/>
      <c r="E313" s="11"/>
      <c r="F313" s="11" t="str">
        <f aca="false">IF($D313="","",$D313*$E313)</f>
        <v/>
      </c>
      <c r="G313" s="11" t="str">
        <f aca="false">IFERROR(IF($B313="","",INDEX(Inventory!$G$3:$G$253,MATCH($B313,Inventory!$A$3:$A$253,0))),"")</f>
        <v/>
      </c>
      <c r="H313" s="11" t="str">
        <f aca="false">IF($D313="","",$D313*IFERROR($G313+0,0))</f>
        <v/>
      </c>
      <c r="I313" s="11"/>
      <c r="J313" s="11"/>
      <c r="K313" s="11" t="str">
        <f aca="false">IF($F313="","",$F313-$I313-$J313)</f>
        <v/>
      </c>
      <c r="L313" s="11" t="str">
        <f aca="false">IF($K313="","",$K313-$H313)</f>
        <v/>
      </c>
      <c r="M313" s="12" t="str">
        <f aca="false">IF(OR($F313="",$F313=0),"",$L313/$F313)</f>
        <v/>
      </c>
      <c r="N313" s="14"/>
      <c r="O313" s="14"/>
      <c r="P313" s="14"/>
      <c r="Q313" s="14"/>
    </row>
    <row r="314" customFormat="false" ht="15" hidden="false" customHeight="false" outlineLevel="0" collapsed="false">
      <c r="A314" s="16"/>
      <c r="B314" s="14"/>
      <c r="C314" s="14" t="str">
        <f aca="false">IFERROR(IF($B314="","",INDEX(Inventory!$B$3:$B$253,MATCH($B314,Inventory!$A$3:$A$253,0))),"")</f>
        <v/>
      </c>
      <c r="D314" s="15"/>
      <c r="E314" s="11"/>
      <c r="F314" s="11" t="str">
        <f aca="false">IF($D314="","",$D314*$E314)</f>
        <v/>
      </c>
      <c r="G314" s="11" t="str">
        <f aca="false">IFERROR(IF($B314="","",INDEX(Inventory!$G$3:$G$253,MATCH($B314,Inventory!$A$3:$A$253,0))),"")</f>
        <v/>
      </c>
      <c r="H314" s="11" t="str">
        <f aca="false">IF($D314="","",$D314*IFERROR($G314+0,0))</f>
        <v/>
      </c>
      <c r="I314" s="11"/>
      <c r="J314" s="11"/>
      <c r="K314" s="11" t="str">
        <f aca="false">IF($F314="","",$F314-$I314-$J314)</f>
        <v/>
      </c>
      <c r="L314" s="11" t="str">
        <f aca="false">IF($K314="","",$K314-$H314)</f>
        <v/>
      </c>
      <c r="M314" s="12" t="str">
        <f aca="false">IF(OR($F314="",$F314=0),"",$L314/$F314)</f>
        <v/>
      </c>
      <c r="N314" s="14"/>
      <c r="O314" s="14"/>
      <c r="P314" s="14"/>
      <c r="Q314" s="14"/>
    </row>
    <row r="315" customFormat="false" ht="15" hidden="false" customHeight="false" outlineLevel="0" collapsed="false">
      <c r="A315" s="16"/>
      <c r="B315" s="14"/>
      <c r="C315" s="14" t="str">
        <f aca="false">IFERROR(IF($B315="","",INDEX(Inventory!$B$3:$B$253,MATCH($B315,Inventory!$A$3:$A$253,0))),"")</f>
        <v/>
      </c>
      <c r="D315" s="15"/>
      <c r="E315" s="11"/>
      <c r="F315" s="11" t="str">
        <f aca="false">IF($D315="","",$D315*$E315)</f>
        <v/>
      </c>
      <c r="G315" s="11" t="str">
        <f aca="false">IFERROR(IF($B315="","",INDEX(Inventory!$G$3:$G$253,MATCH($B315,Inventory!$A$3:$A$253,0))),"")</f>
        <v/>
      </c>
      <c r="H315" s="11" t="str">
        <f aca="false">IF($D315="","",$D315*IFERROR($G315+0,0))</f>
        <v/>
      </c>
      <c r="I315" s="11"/>
      <c r="J315" s="11"/>
      <c r="K315" s="11" t="str">
        <f aca="false">IF($F315="","",$F315-$I315-$J315)</f>
        <v/>
      </c>
      <c r="L315" s="11" t="str">
        <f aca="false">IF($K315="","",$K315-$H315)</f>
        <v/>
      </c>
      <c r="M315" s="12" t="str">
        <f aca="false">IF(OR($F315="",$F315=0),"",$L315/$F315)</f>
        <v/>
      </c>
      <c r="N315" s="14"/>
      <c r="O315" s="14"/>
      <c r="P315" s="14"/>
      <c r="Q315" s="14"/>
    </row>
    <row r="316" customFormat="false" ht="15" hidden="false" customHeight="false" outlineLevel="0" collapsed="false">
      <c r="A316" s="16"/>
      <c r="B316" s="14"/>
      <c r="C316" s="14" t="str">
        <f aca="false">IFERROR(IF($B316="","",INDEX(Inventory!$B$3:$B$253,MATCH($B316,Inventory!$A$3:$A$253,0))),"")</f>
        <v/>
      </c>
      <c r="D316" s="15"/>
      <c r="E316" s="11"/>
      <c r="F316" s="11" t="str">
        <f aca="false">IF($D316="","",$D316*$E316)</f>
        <v/>
      </c>
      <c r="G316" s="11" t="str">
        <f aca="false">IFERROR(IF($B316="","",INDEX(Inventory!$G$3:$G$253,MATCH($B316,Inventory!$A$3:$A$253,0))),"")</f>
        <v/>
      </c>
      <c r="H316" s="11" t="str">
        <f aca="false">IF($D316="","",$D316*IFERROR($G316+0,0))</f>
        <v/>
      </c>
      <c r="I316" s="11"/>
      <c r="J316" s="11"/>
      <c r="K316" s="11" t="str">
        <f aca="false">IF($F316="","",$F316-$I316-$J316)</f>
        <v/>
      </c>
      <c r="L316" s="11" t="str">
        <f aca="false">IF($K316="","",$K316-$H316)</f>
        <v/>
      </c>
      <c r="M316" s="12" t="str">
        <f aca="false">IF(OR($F316="",$F316=0),"",$L316/$F316)</f>
        <v/>
      </c>
      <c r="N316" s="14"/>
      <c r="O316" s="14"/>
      <c r="P316" s="14"/>
      <c r="Q316" s="14"/>
    </row>
    <row r="317" customFormat="false" ht="15" hidden="false" customHeight="false" outlineLevel="0" collapsed="false">
      <c r="A317" s="16"/>
      <c r="B317" s="14"/>
      <c r="C317" s="14" t="str">
        <f aca="false">IFERROR(IF($B317="","",INDEX(Inventory!$B$3:$B$253,MATCH($B317,Inventory!$A$3:$A$253,0))),"")</f>
        <v/>
      </c>
      <c r="D317" s="15"/>
      <c r="E317" s="11"/>
      <c r="F317" s="11" t="str">
        <f aca="false">IF($D317="","",$D317*$E317)</f>
        <v/>
      </c>
      <c r="G317" s="11" t="str">
        <f aca="false">IFERROR(IF($B317="","",INDEX(Inventory!$G$3:$G$253,MATCH($B317,Inventory!$A$3:$A$253,0))),"")</f>
        <v/>
      </c>
      <c r="H317" s="11" t="str">
        <f aca="false">IF($D317="","",$D317*IFERROR($G317+0,0))</f>
        <v/>
      </c>
      <c r="I317" s="11"/>
      <c r="J317" s="11"/>
      <c r="K317" s="11" t="str">
        <f aca="false">IF($F317="","",$F317-$I317-$J317)</f>
        <v/>
      </c>
      <c r="L317" s="11" t="str">
        <f aca="false">IF($K317="","",$K317-$H317)</f>
        <v/>
      </c>
      <c r="M317" s="12" t="str">
        <f aca="false">IF(OR($F317="",$F317=0),"",$L317/$F317)</f>
        <v/>
      </c>
      <c r="N317" s="14"/>
      <c r="O317" s="14"/>
      <c r="P317" s="14"/>
      <c r="Q317" s="14"/>
    </row>
    <row r="318" customFormat="false" ht="15" hidden="false" customHeight="false" outlineLevel="0" collapsed="false">
      <c r="A318" s="16"/>
      <c r="B318" s="14"/>
      <c r="C318" s="14" t="str">
        <f aca="false">IFERROR(IF($B318="","",INDEX(Inventory!$B$3:$B$253,MATCH($B318,Inventory!$A$3:$A$253,0))),"")</f>
        <v/>
      </c>
      <c r="D318" s="15"/>
      <c r="E318" s="11"/>
      <c r="F318" s="11" t="str">
        <f aca="false">IF($D318="","",$D318*$E318)</f>
        <v/>
      </c>
      <c r="G318" s="11" t="str">
        <f aca="false">IFERROR(IF($B318="","",INDEX(Inventory!$G$3:$G$253,MATCH($B318,Inventory!$A$3:$A$253,0))),"")</f>
        <v/>
      </c>
      <c r="H318" s="11" t="str">
        <f aca="false">IF($D318="","",$D318*IFERROR($G318+0,0))</f>
        <v/>
      </c>
      <c r="I318" s="11"/>
      <c r="J318" s="11"/>
      <c r="K318" s="11" t="str">
        <f aca="false">IF($F318="","",$F318-$I318-$J318)</f>
        <v/>
      </c>
      <c r="L318" s="11" t="str">
        <f aca="false">IF($K318="","",$K318-$H318)</f>
        <v/>
      </c>
      <c r="M318" s="12" t="str">
        <f aca="false">IF(OR($F318="",$F318=0),"",$L318/$F318)</f>
        <v/>
      </c>
      <c r="N318" s="14"/>
      <c r="O318" s="14"/>
      <c r="P318" s="14"/>
      <c r="Q318" s="14"/>
    </row>
    <row r="319" customFormat="false" ht="15" hidden="false" customHeight="false" outlineLevel="0" collapsed="false">
      <c r="A319" s="16"/>
      <c r="B319" s="14"/>
      <c r="C319" s="14" t="str">
        <f aca="false">IFERROR(IF($B319="","",INDEX(Inventory!$B$3:$B$253,MATCH($B319,Inventory!$A$3:$A$253,0))),"")</f>
        <v/>
      </c>
      <c r="D319" s="15"/>
      <c r="E319" s="11"/>
      <c r="F319" s="11" t="str">
        <f aca="false">IF($D319="","",$D319*$E319)</f>
        <v/>
      </c>
      <c r="G319" s="11" t="str">
        <f aca="false">IFERROR(IF($B319="","",INDEX(Inventory!$G$3:$G$253,MATCH($B319,Inventory!$A$3:$A$253,0))),"")</f>
        <v/>
      </c>
      <c r="H319" s="11" t="str">
        <f aca="false">IF($D319="","",$D319*IFERROR($G319+0,0))</f>
        <v/>
      </c>
      <c r="I319" s="11"/>
      <c r="J319" s="11"/>
      <c r="K319" s="11" t="str">
        <f aca="false">IF($F319="","",$F319-$I319-$J319)</f>
        <v/>
      </c>
      <c r="L319" s="11" t="str">
        <f aca="false">IF($K319="","",$K319-$H319)</f>
        <v/>
      </c>
      <c r="M319" s="12" t="str">
        <f aca="false">IF(OR($F319="",$F319=0),"",$L319/$F319)</f>
        <v/>
      </c>
      <c r="N319" s="14"/>
      <c r="O319" s="14"/>
      <c r="P319" s="14"/>
      <c r="Q319" s="14"/>
    </row>
    <row r="320" customFormat="false" ht="15" hidden="false" customHeight="false" outlineLevel="0" collapsed="false">
      <c r="A320" s="16"/>
      <c r="B320" s="14"/>
      <c r="C320" s="14" t="str">
        <f aca="false">IFERROR(IF($B320="","",INDEX(Inventory!$B$3:$B$253,MATCH($B320,Inventory!$A$3:$A$253,0))),"")</f>
        <v/>
      </c>
      <c r="D320" s="15"/>
      <c r="E320" s="11"/>
      <c r="F320" s="11" t="str">
        <f aca="false">IF($D320="","",$D320*$E320)</f>
        <v/>
      </c>
      <c r="G320" s="11" t="str">
        <f aca="false">IFERROR(IF($B320="","",INDEX(Inventory!$G$3:$G$253,MATCH($B320,Inventory!$A$3:$A$253,0))),"")</f>
        <v/>
      </c>
      <c r="H320" s="11" t="str">
        <f aca="false">IF($D320="","",$D320*IFERROR($G320+0,0))</f>
        <v/>
      </c>
      <c r="I320" s="11"/>
      <c r="J320" s="11"/>
      <c r="K320" s="11" t="str">
        <f aca="false">IF($F320="","",$F320-$I320-$J320)</f>
        <v/>
      </c>
      <c r="L320" s="11" t="str">
        <f aca="false">IF($K320="","",$K320-$H320)</f>
        <v/>
      </c>
      <c r="M320" s="12" t="str">
        <f aca="false">IF(OR($F320="",$F320=0),"",$L320/$F320)</f>
        <v/>
      </c>
      <c r="N320" s="14"/>
      <c r="O320" s="14"/>
      <c r="P320" s="14"/>
      <c r="Q320" s="14"/>
    </row>
    <row r="321" customFormat="false" ht="15" hidden="false" customHeight="false" outlineLevel="0" collapsed="false">
      <c r="A321" s="16"/>
      <c r="B321" s="14"/>
      <c r="C321" s="14" t="str">
        <f aca="false">IFERROR(IF($B321="","",INDEX(Inventory!$B$3:$B$253,MATCH($B321,Inventory!$A$3:$A$253,0))),"")</f>
        <v/>
      </c>
      <c r="D321" s="15"/>
      <c r="E321" s="11"/>
      <c r="F321" s="11" t="str">
        <f aca="false">IF($D321="","",$D321*$E321)</f>
        <v/>
      </c>
      <c r="G321" s="11" t="str">
        <f aca="false">IFERROR(IF($B321="","",INDEX(Inventory!$G$3:$G$253,MATCH($B321,Inventory!$A$3:$A$253,0))),"")</f>
        <v/>
      </c>
      <c r="H321" s="11" t="str">
        <f aca="false">IF($D321="","",$D321*IFERROR($G321+0,0))</f>
        <v/>
      </c>
      <c r="I321" s="11"/>
      <c r="J321" s="11"/>
      <c r="K321" s="11" t="str">
        <f aca="false">IF($F321="","",$F321-$I321-$J321)</f>
        <v/>
      </c>
      <c r="L321" s="11" t="str">
        <f aca="false">IF($K321="","",$K321-$H321)</f>
        <v/>
      </c>
      <c r="M321" s="12" t="str">
        <f aca="false">IF(OR($F321="",$F321=0),"",$L321/$F321)</f>
        <v/>
      </c>
      <c r="N321" s="14"/>
      <c r="O321" s="14"/>
      <c r="P321" s="14"/>
      <c r="Q321" s="14"/>
    </row>
    <row r="322" customFormat="false" ht="15" hidden="false" customHeight="false" outlineLevel="0" collapsed="false">
      <c r="A322" s="16"/>
      <c r="B322" s="14"/>
      <c r="C322" s="14" t="str">
        <f aca="false">IFERROR(IF($B322="","",INDEX(Inventory!$B$3:$B$253,MATCH($B322,Inventory!$A$3:$A$253,0))),"")</f>
        <v/>
      </c>
      <c r="D322" s="15"/>
      <c r="E322" s="11"/>
      <c r="F322" s="11" t="str">
        <f aca="false">IF($D322="","",$D322*$E322)</f>
        <v/>
      </c>
      <c r="G322" s="11" t="str">
        <f aca="false">IFERROR(IF($B322="","",INDEX(Inventory!$G$3:$G$253,MATCH($B322,Inventory!$A$3:$A$253,0))),"")</f>
        <v/>
      </c>
      <c r="H322" s="11" t="str">
        <f aca="false">IF($D322="","",$D322*IFERROR($G322+0,0))</f>
        <v/>
      </c>
      <c r="I322" s="11"/>
      <c r="J322" s="11"/>
      <c r="K322" s="11" t="str">
        <f aca="false">IF($F322="","",$F322-$I322-$J322)</f>
        <v/>
      </c>
      <c r="L322" s="11" t="str">
        <f aca="false">IF($K322="","",$K322-$H322)</f>
        <v/>
      </c>
      <c r="M322" s="12" t="str">
        <f aca="false">IF(OR($F322="",$F322=0),"",$L322/$F322)</f>
        <v/>
      </c>
      <c r="N322" s="14"/>
      <c r="O322" s="14"/>
      <c r="P322" s="14"/>
      <c r="Q322" s="14"/>
    </row>
    <row r="323" customFormat="false" ht="15" hidden="false" customHeight="false" outlineLevel="0" collapsed="false">
      <c r="A323" s="16"/>
      <c r="B323" s="14"/>
      <c r="C323" s="14" t="str">
        <f aca="false">IFERROR(IF($B323="","",INDEX(Inventory!$B$3:$B$253,MATCH($B323,Inventory!$A$3:$A$253,0))),"")</f>
        <v/>
      </c>
      <c r="D323" s="15"/>
      <c r="E323" s="11"/>
      <c r="F323" s="11" t="str">
        <f aca="false">IF($D323="","",$D323*$E323)</f>
        <v/>
      </c>
      <c r="G323" s="11" t="str">
        <f aca="false">IFERROR(IF($B323="","",INDEX(Inventory!$G$3:$G$253,MATCH($B323,Inventory!$A$3:$A$253,0))),"")</f>
        <v/>
      </c>
      <c r="H323" s="11" t="str">
        <f aca="false">IF($D323="","",$D323*IFERROR($G323+0,0))</f>
        <v/>
      </c>
      <c r="I323" s="11"/>
      <c r="J323" s="11"/>
      <c r="K323" s="11" t="str">
        <f aca="false">IF($F323="","",$F323-$I323-$J323)</f>
        <v/>
      </c>
      <c r="L323" s="11" t="str">
        <f aca="false">IF($K323="","",$K323-$H323)</f>
        <v/>
      </c>
      <c r="M323" s="12" t="str">
        <f aca="false">IF(OR($F323="",$F323=0),"",$L323/$F323)</f>
        <v/>
      </c>
      <c r="N323" s="14"/>
      <c r="O323" s="14"/>
      <c r="P323" s="14"/>
      <c r="Q323" s="14"/>
    </row>
    <row r="324" customFormat="false" ht="15" hidden="false" customHeight="false" outlineLevel="0" collapsed="false">
      <c r="A324" s="16"/>
      <c r="B324" s="14"/>
      <c r="C324" s="14" t="str">
        <f aca="false">IFERROR(IF($B324="","",INDEX(Inventory!$B$3:$B$253,MATCH($B324,Inventory!$A$3:$A$253,0))),"")</f>
        <v/>
      </c>
      <c r="D324" s="15"/>
      <c r="E324" s="11"/>
      <c r="F324" s="11" t="str">
        <f aca="false">IF($D324="","",$D324*$E324)</f>
        <v/>
      </c>
      <c r="G324" s="11" t="str">
        <f aca="false">IFERROR(IF($B324="","",INDEX(Inventory!$G$3:$G$253,MATCH($B324,Inventory!$A$3:$A$253,0))),"")</f>
        <v/>
      </c>
      <c r="H324" s="11" t="str">
        <f aca="false">IF($D324="","",$D324*IFERROR($G324+0,0))</f>
        <v/>
      </c>
      <c r="I324" s="11"/>
      <c r="J324" s="11"/>
      <c r="K324" s="11" t="str">
        <f aca="false">IF($F324="","",$F324-$I324-$J324)</f>
        <v/>
      </c>
      <c r="L324" s="11" t="str">
        <f aca="false">IF($K324="","",$K324-$H324)</f>
        <v/>
      </c>
      <c r="M324" s="12" t="str">
        <f aca="false">IF(OR($F324="",$F324=0),"",$L324/$F324)</f>
        <v/>
      </c>
      <c r="N324" s="14"/>
      <c r="O324" s="14"/>
      <c r="P324" s="14"/>
      <c r="Q324" s="14"/>
    </row>
    <row r="325" customFormat="false" ht="15" hidden="false" customHeight="false" outlineLevel="0" collapsed="false">
      <c r="A325" s="16"/>
      <c r="B325" s="14"/>
      <c r="C325" s="14" t="str">
        <f aca="false">IFERROR(IF($B325="","",INDEX(Inventory!$B$3:$B$253,MATCH($B325,Inventory!$A$3:$A$253,0))),"")</f>
        <v/>
      </c>
      <c r="D325" s="15"/>
      <c r="E325" s="11"/>
      <c r="F325" s="11" t="str">
        <f aca="false">IF($D325="","",$D325*$E325)</f>
        <v/>
      </c>
      <c r="G325" s="11" t="str">
        <f aca="false">IFERROR(IF($B325="","",INDEX(Inventory!$G$3:$G$253,MATCH($B325,Inventory!$A$3:$A$253,0))),"")</f>
        <v/>
      </c>
      <c r="H325" s="11" t="str">
        <f aca="false">IF($D325="","",$D325*IFERROR($G325+0,0))</f>
        <v/>
      </c>
      <c r="I325" s="11"/>
      <c r="J325" s="11"/>
      <c r="K325" s="11" t="str">
        <f aca="false">IF($F325="","",$F325-$I325-$J325)</f>
        <v/>
      </c>
      <c r="L325" s="11" t="str">
        <f aca="false">IF($K325="","",$K325-$H325)</f>
        <v/>
      </c>
      <c r="M325" s="12" t="str">
        <f aca="false">IF(OR($F325="",$F325=0),"",$L325/$F325)</f>
        <v/>
      </c>
      <c r="N325" s="14"/>
      <c r="O325" s="14"/>
      <c r="P325" s="14"/>
      <c r="Q325" s="14"/>
    </row>
    <row r="326" customFormat="false" ht="15" hidden="false" customHeight="false" outlineLevel="0" collapsed="false">
      <c r="A326" s="16"/>
      <c r="B326" s="14"/>
      <c r="C326" s="14" t="str">
        <f aca="false">IFERROR(IF($B326="","",INDEX(Inventory!$B$3:$B$253,MATCH($B326,Inventory!$A$3:$A$253,0))),"")</f>
        <v/>
      </c>
      <c r="D326" s="15"/>
      <c r="E326" s="11"/>
      <c r="F326" s="11" t="str">
        <f aca="false">IF($D326="","",$D326*$E326)</f>
        <v/>
      </c>
      <c r="G326" s="11" t="str">
        <f aca="false">IFERROR(IF($B326="","",INDEX(Inventory!$G$3:$G$253,MATCH($B326,Inventory!$A$3:$A$253,0))),"")</f>
        <v/>
      </c>
      <c r="H326" s="11" t="str">
        <f aca="false">IF($D326="","",$D326*IFERROR($G326+0,0))</f>
        <v/>
      </c>
      <c r="I326" s="11"/>
      <c r="J326" s="11"/>
      <c r="K326" s="11" t="str">
        <f aca="false">IF($F326="","",$F326-$I326-$J326)</f>
        <v/>
      </c>
      <c r="L326" s="11" t="str">
        <f aca="false">IF($K326="","",$K326-$H326)</f>
        <v/>
      </c>
      <c r="M326" s="12" t="str">
        <f aca="false">IF(OR($F326="",$F326=0),"",$L326/$F326)</f>
        <v/>
      </c>
      <c r="N326" s="14"/>
      <c r="O326" s="14"/>
      <c r="P326" s="14"/>
      <c r="Q326" s="14"/>
    </row>
    <row r="327" customFormat="false" ht="15" hidden="false" customHeight="false" outlineLevel="0" collapsed="false">
      <c r="A327" s="16"/>
      <c r="B327" s="14"/>
      <c r="C327" s="14" t="str">
        <f aca="false">IFERROR(IF($B327="","",INDEX(Inventory!$B$3:$B$253,MATCH($B327,Inventory!$A$3:$A$253,0))),"")</f>
        <v/>
      </c>
      <c r="D327" s="15"/>
      <c r="E327" s="11"/>
      <c r="F327" s="11" t="str">
        <f aca="false">IF($D327="","",$D327*$E327)</f>
        <v/>
      </c>
      <c r="G327" s="11" t="str">
        <f aca="false">IFERROR(IF($B327="","",INDEX(Inventory!$G$3:$G$253,MATCH($B327,Inventory!$A$3:$A$253,0))),"")</f>
        <v/>
      </c>
      <c r="H327" s="11" t="str">
        <f aca="false">IF($D327="","",$D327*IFERROR($G327+0,0))</f>
        <v/>
      </c>
      <c r="I327" s="11"/>
      <c r="J327" s="11"/>
      <c r="K327" s="11" t="str">
        <f aca="false">IF($F327="","",$F327-$I327-$J327)</f>
        <v/>
      </c>
      <c r="L327" s="11" t="str">
        <f aca="false">IF($K327="","",$K327-$H327)</f>
        <v/>
      </c>
      <c r="M327" s="12" t="str">
        <f aca="false">IF(OR($F327="",$F327=0),"",$L327/$F327)</f>
        <v/>
      </c>
      <c r="N327" s="14"/>
      <c r="O327" s="14"/>
      <c r="P327" s="14"/>
      <c r="Q327" s="14"/>
    </row>
    <row r="328" customFormat="false" ht="15" hidden="false" customHeight="false" outlineLevel="0" collapsed="false">
      <c r="A328" s="16"/>
      <c r="B328" s="14"/>
      <c r="C328" s="14" t="str">
        <f aca="false">IFERROR(IF($B328="","",INDEX(Inventory!$B$3:$B$253,MATCH($B328,Inventory!$A$3:$A$253,0))),"")</f>
        <v/>
      </c>
      <c r="D328" s="15"/>
      <c r="E328" s="11"/>
      <c r="F328" s="11" t="str">
        <f aca="false">IF($D328="","",$D328*$E328)</f>
        <v/>
      </c>
      <c r="G328" s="11" t="str">
        <f aca="false">IFERROR(IF($B328="","",INDEX(Inventory!$G$3:$G$253,MATCH($B328,Inventory!$A$3:$A$253,0))),"")</f>
        <v/>
      </c>
      <c r="H328" s="11" t="str">
        <f aca="false">IF($D328="","",$D328*IFERROR($G328+0,0))</f>
        <v/>
      </c>
      <c r="I328" s="11"/>
      <c r="J328" s="11"/>
      <c r="K328" s="11" t="str">
        <f aca="false">IF($F328="","",$F328-$I328-$J328)</f>
        <v/>
      </c>
      <c r="L328" s="11" t="str">
        <f aca="false">IF($K328="","",$K328-$H328)</f>
        <v/>
      </c>
      <c r="M328" s="12" t="str">
        <f aca="false">IF(OR($F328="",$F328=0),"",$L328/$F328)</f>
        <v/>
      </c>
      <c r="N328" s="14"/>
      <c r="O328" s="14"/>
      <c r="P328" s="14"/>
      <c r="Q328" s="14"/>
    </row>
    <row r="329" customFormat="false" ht="15" hidden="false" customHeight="false" outlineLevel="0" collapsed="false">
      <c r="A329" s="16"/>
      <c r="B329" s="14"/>
      <c r="C329" s="14" t="str">
        <f aca="false">IFERROR(IF($B329="","",INDEX(Inventory!$B$3:$B$253,MATCH($B329,Inventory!$A$3:$A$253,0))),"")</f>
        <v/>
      </c>
      <c r="D329" s="15"/>
      <c r="E329" s="11"/>
      <c r="F329" s="11" t="str">
        <f aca="false">IF($D329="","",$D329*$E329)</f>
        <v/>
      </c>
      <c r="G329" s="11" t="str">
        <f aca="false">IFERROR(IF($B329="","",INDEX(Inventory!$G$3:$G$253,MATCH($B329,Inventory!$A$3:$A$253,0))),"")</f>
        <v/>
      </c>
      <c r="H329" s="11" t="str">
        <f aca="false">IF($D329="","",$D329*IFERROR($G329+0,0))</f>
        <v/>
      </c>
      <c r="I329" s="11"/>
      <c r="J329" s="11"/>
      <c r="K329" s="11" t="str">
        <f aca="false">IF($F329="","",$F329-$I329-$J329)</f>
        <v/>
      </c>
      <c r="L329" s="11" t="str">
        <f aca="false">IF($K329="","",$K329-$H329)</f>
        <v/>
      </c>
      <c r="M329" s="12" t="str">
        <f aca="false">IF(OR($F329="",$F329=0),"",$L329/$F329)</f>
        <v/>
      </c>
      <c r="N329" s="14"/>
      <c r="O329" s="14"/>
      <c r="P329" s="14"/>
      <c r="Q329" s="14"/>
    </row>
    <row r="330" customFormat="false" ht="15" hidden="false" customHeight="false" outlineLevel="0" collapsed="false">
      <c r="A330" s="16"/>
      <c r="B330" s="14"/>
      <c r="C330" s="14" t="str">
        <f aca="false">IFERROR(IF($B330="","",INDEX(Inventory!$B$3:$B$253,MATCH($B330,Inventory!$A$3:$A$253,0))),"")</f>
        <v/>
      </c>
      <c r="D330" s="15"/>
      <c r="E330" s="11"/>
      <c r="F330" s="11" t="str">
        <f aca="false">IF($D330="","",$D330*$E330)</f>
        <v/>
      </c>
      <c r="G330" s="11" t="str">
        <f aca="false">IFERROR(IF($B330="","",INDEX(Inventory!$G$3:$G$253,MATCH($B330,Inventory!$A$3:$A$253,0))),"")</f>
        <v/>
      </c>
      <c r="H330" s="11" t="str">
        <f aca="false">IF($D330="","",$D330*IFERROR($G330+0,0))</f>
        <v/>
      </c>
      <c r="I330" s="11"/>
      <c r="J330" s="11"/>
      <c r="K330" s="11" t="str">
        <f aca="false">IF($F330="","",$F330-$I330-$J330)</f>
        <v/>
      </c>
      <c r="L330" s="11" t="str">
        <f aca="false">IF($K330="","",$K330-$H330)</f>
        <v/>
      </c>
      <c r="M330" s="12" t="str">
        <f aca="false">IF(OR($F330="",$F330=0),"",$L330/$F330)</f>
        <v/>
      </c>
      <c r="N330" s="14"/>
      <c r="O330" s="14"/>
      <c r="P330" s="14"/>
      <c r="Q330" s="14"/>
    </row>
    <row r="331" customFormat="false" ht="15" hidden="false" customHeight="false" outlineLevel="0" collapsed="false">
      <c r="A331" s="16"/>
      <c r="B331" s="14"/>
      <c r="C331" s="14" t="str">
        <f aca="false">IFERROR(IF($B331="","",INDEX(Inventory!$B$3:$B$253,MATCH($B331,Inventory!$A$3:$A$253,0))),"")</f>
        <v/>
      </c>
      <c r="D331" s="15"/>
      <c r="E331" s="11"/>
      <c r="F331" s="11" t="str">
        <f aca="false">IF($D331="","",$D331*$E331)</f>
        <v/>
      </c>
      <c r="G331" s="11" t="str">
        <f aca="false">IFERROR(IF($B331="","",INDEX(Inventory!$G$3:$G$253,MATCH($B331,Inventory!$A$3:$A$253,0))),"")</f>
        <v/>
      </c>
      <c r="H331" s="11" t="str">
        <f aca="false">IF($D331="","",$D331*IFERROR($G331+0,0))</f>
        <v/>
      </c>
      <c r="I331" s="11"/>
      <c r="J331" s="11"/>
      <c r="K331" s="11" t="str">
        <f aca="false">IF($F331="","",$F331-$I331-$J331)</f>
        <v/>
      </c>
      <c r="L331" s="11" t="str">
        <f aca="false">IF($K331="","",$K331-$H331)</f>
        <v/>
      </c>
      <c r="M331" s="12" t="str">
        <f aca="false">IF(OR($F331="",$F331=0),"",$L331/$F331)</f>
        <v/>
      </c>
      <c r="N331" s="14"/>
      <c r="O331" s="14"/>
      <c r="P331" s="14"/>
      <c r="Q331" s="14"/>
    </row>
    <row r="332" customFormat="false" ht="15" hidden="false" customHeight="false" outlineLevel="0" collapsed="false">
      <c r="A332" s="16"/>
      <c r="B332" s="14"/>
      <c r="C332" s="14" t="str">
        <f aca="false">IFERROR(IF($B332="","",INDEX(Inventory!$B$3:$B$253,MATCH($B332,Inventory!$A$3:$A$253,0))),"")</f>
        <v/>
      </c>
      <c r="D332" s="15"/>
      <c r="E332" s="11"/>
      <c r="F332" s="11" t="str">
        <f aca="false">IF($D332="","",$D332*$E332)</f>
        <v/>
      </c>
      <c r="G332" s="11" t="str">
        <f aca="false">IFERROR(IF($B332="","",INDEX(Inventory!$G$3:$G$253,MATCH($B332,Inventory!$A$3:$A$253,0))),"")</f>
        <v/>
      </c>
      <c r="H332" s="11" t="str">
        <f aca="false">IF($D332="","",$D332*IFERROR($G332+0,0))</f>
        <v/>
      </c>
      <c r="I332" s="11"/>
      <c r="J332" s="11"/>
      <c r="K332" s="11" t="str">
        <f aca="false">IF($F332="","",$F332-$I332-$J332)</f>
        <v/>
      </c>
      <c r="L332" s="11" t="str">
        <f aca="false">IF($K332="","",$K332-$H332)</f>
        <v/>
      </c>
      <c r="M332" s="12" t="str">
        <f aca="false">IF(OR($F332="",$F332=0),"",$L332/$F332)</f>
        <v/>
      </c>
      <c r="N332" s="14"/>
      <c r="O332" s="14"/>
      <c r="P332" s="14"/>
      <c r="Q332" s="14"/>
    </row>
    <row r="333" customFormat="false" ht="15" hidden="false" customHeight="false" outlineLevel="0" collapsed="false">
      <c r="A333" s="16"/>
      <c r="B333" s="14"/>
      <c r="C333" s="14" t="str">
        <f aca="false">IFERROR(IF($B333="","",INDEX(Inventory!$B$3:$B$253,MATCH($B333,Inventory!$A$3:$A$253,0))),"")</f>
        <v/>
      </c>
      <c r="D333" s="15"/>
      <c r="E333" s="11"/>
      <c r="F333" s="11" t="str">
        <f aca="false">IF($D333="","",$D333*$E333)</f>
        <v/>
      </c>
      <c r="G333" s="11" t="str">
        <f aca="false">IFERROR(IF($B333="","",INDEX(Inventory!$G$3:$G$253,MATCH($B333,Inventory!$A$3:$A$253,0))),"")</f>
        <v/>
      </c>
      <c r="H333" s="11" t="str">
        <f aca="false">IF($D333="","",$D333*IFERROR($G333+0,0))</f>
        <v/>
      </c>
      <c r="I333" s="11"/>
      <c r="J333" s="11"/>
      <c r="K333" s="11" t="str">
        <f aca="false">IF($F333="","",$F333-$I333-$J333)</f>
        <v/>
      </c>
      <c r="L333" s="11" t="str">
        <f aca="false">IF($K333="","",$K333-$H333)</f>
        <v/>
      </c>
      <c r="M333" s="12" t="str">
        <f aca="false">IF(OR($F333="",$F333=0),"",$L333/$F333)</f>
        <v/>
      </c>
      <c r="N333" s="14"/>
      <c r="O333" s="14"/>
      <c r="P333" s="14"/>
      <c r="Q333" s="14"/>
    </row>
    <row r="334" customFormat="false" ht="15" hidden="false" customHeight="false" outlineLevel="0" collapsed="false">
      <c r="A334" s="16"/>
      <c r="B334" s="14"/>
      <c r="C334" s="14" t="str">
        <f aca="false">IFERROR(IF($B334="","",INDEX(Inventory!$B$3:$B$253,MATCH($B334,Inventory!$A$3:$A$253,0))),"")</f>
        <v/>
      </c>
      <c r="D334" s="15"/>
      <c r="E334" s="11"/>
      <c r="F334" s="11" t="str">
        <f aca="false">IF($D334="","",$D334*$E334)</f>
        <v/>
      </c>
      <c r="G334" s="11" t="str">
        <f aca="false">IFERROR(IF($B334="","",INDEX(Inventory!$G$3:$G$253,MATCH($B334,Inventory!$A$3:$A$253,0))),"")</f>
        <v/>
      </c>
      <c r="H334" s="11" t="str">
        <f aca="false">IF($D334="","",$D334*IFERROR($G334+0,0))</f>
        <v/>
      </c>
      <c r="I334" s="11"/>
      <c r="J334" s="11"/>
      <c r="K334" s="11" t="str">
        <f aca="false">IF($F334="","",$F334-$I334-$J334)</f>
        <v/>
      </c>
      <c r="L334" s="11" t="str">
        <f aca="false">IF($K334="","",$K334-$H334)</f>
        <v/>
      </c>
      <c r="M334" s="12" t="str">
        <f aca="false">IF(OR($F334="",$F334=0),"",$L334/$F334)</f>
        <v/>
      </c>
      <c r="N334" s="14"/>
      <c r="O334" s="14"/>
      <c r="P334" s="14"/>
      <c r="Q334" s="14"/>
    </row>
    <row r="335" customFormat="false" ht="15" hidden="false" customHeight="false" outlineLevel="0" collapsed="false">
      <c r="A335" s="16"/>
      <c r="B335" s="14"/>
      <c r="C335" s="14" t="str">
        <f aca="false">IFERROR(IF($B335="","",INDEX(Inventory!$B$3:$B$253,MATCH($B335,Inventory!$A$3:$A$253,0))),"")</f>
        <v/>
      </c>
      <c r="D335" s="15"/>
      <c r="E335" s="11"/>
      <c r="F335" s="11" t="str">
        <f aca="false">IF($D335="","",$D335*$E335)</f>
        <v/>
      </c>
      <c r="G335" s="11" t="str">
        <f aca="false">IFERROR(IF($B335="","",INDEX(Inventory!$G$3:$G$253,MATCH($B335,Inventory!$A$3:$A$253,0))),"")</f>
        <v/>
      </c>
      <c r="H335" s="11" t="str">
        <f aca="false">IF($D335="","",$D335*IFERROR($G335+0,0))</f>
        <v/>
      </c>
      <c r="I335" s="11"/>
      <c r="J335" s="11"/>
      <c r="K335" s="11" t="str">
        <f aca="false">IF($F335="","",$F335-$I335-$J335)</f>
        <v/>
      </c>
      <c r="L335" s="11" t="str">
        <f aca="false">IF($K335="","",$K335-$H335)</f>
        <v/>
      </c>
      <c r="M335" s="12" t="str">
        <f aca="false">IF(OR($F335="",$F335=0),"",$L335/$F335)</f>
        <v/>
      </c>
      <c r="N335" s="14"/>
      <c r="O335" s="14"/>
      <c r="P335" s="14"/>
      <c r="Q335" s="14"/>
    </row>
    <row r="336" customFormat="false" ht="15" hidden="false" customHeight="false" outlineLevel="0" collapsed="false">
      <c r="A336" s="16"/>
      <c r="B336" s="14"/>
      <c r="C336" s="14" t="str">
        <f aca="false">IFERROR(IF($B336="","",INDEX(Inventory!$B$3:$B$253,MATCH($B336,Inventory!$A$3:$A$253,0))),"")</f>
        <v/>
      </c>
      <c r="D336" s="15"/>
      <c r="E336" s="11"/>
      <c r="F336" s="11" t="str">
        <f aca="false">IF($D336="","",$D336*$E336)</f>
        <v/>
      </c>
      <c r="G336" s="11" t="str">
        <f aca="false">IFERROR(IF($B336="","",INDEX(Inventory!$G$3:$G$253,MATCH($B336,Inventory!$A$3:$A$253,0))),"")</f>
        <v/>
      </c>
      <c r="H336" s="11" t="str">
        <f aca="false">IF($D336="","",$D336*IFERROR($G336+0,0))</f>
        <v/>
      </c>
      <c r="I336" s="11"/>
      <c r="J336" s="11"/>
      <c r="K336" s="11" t="str">
        <f aca="false">IF($F336="","",$F336-$I336-$J336)</f>
        <v/>
      </c>
      <c r="L336" s="11" t="str">
        <f aca="false">IF($K336="","",$K336-$H336)</f>
        <v/>
      </c>
      <c r="M336" s="12" t="str">
        <f aca="false">IF(OR($F336="",$F336=0),"",$L336/$F336)</f>
        <v/>
      </c>
      <c r="N336" s="14"/>
      <c r="O336" s="14"/>
      <c r="P336" s="14"/>
      <c r="Q336" s="14"/>
    </row>
    <row r="337" customFormat="false" ht="15" hidden="false" customHeight="false" outlineLevel="0" collapsed="false">
      <c r="A337" s="16"/>
      <c r="B337" s="14"/>
      <c r="C337" s="14" t="str">
        <f aca="false">IFERROR(IF($B337="","",INDEX(Inventory!$B$3:$B$253,MATCH($B337,Inventory!$A$3:$A$253,0))),"")</f>
        <v/>
      </c>
      <c r="D337" s="15"/>
      <c r="E337" s="11"/>
      <c r="F337" s="11" t="str">
        <f aca="false">IF($D337="","",$D337*$E337)</f>
        <v/>
      </c>
      <c r="G337" s="11" t="str">
        <f aca="false">IFERROR(IF($B337="","",INDEX(Inventory!$G$3:$G$253,MATCH($B337,Inventory!$A$3:$A$253,0))),"")</f>
        <v/>
      </c>
      <c r="H337" s="11" t="str">
        <f aca="false">IF($D337="","",$D337*IFERROR($G337+0,0))</f>
        <v/>
      </c>
      <c r="I337" s="11"/>
      <c r="J337" s="11"/>
      <c r="K337" s="11" t="str">
        <f aca="false">IF($F337="","",$F337-$I337-$J337)</f>
        <v/>
      </c>
      <c r="L337" s="11" t="str">
        <f aca="false">IF($K337="","",$K337-$H337)</f>
        <v/>
      </c>
      <c r="M337" s="12" t="str">
        <f aca="false">IF(OR($F337="",$F337=0),"",$L337/$F337)</f>
        <v/>
      </c>
      <c r="N337" s="14"/>
      <c r="O337" s="14"/>
      <c r="P337" s="14"/>
      <c r="Q337" s="14"/>
    </row>
    <row r="338" customFormat="false" ht="15" hidden="false" customHeight="false" outlineLevel="0" collapsed="false">
      <c r="A338" s="16"/>
      <c r="B338" s="14"/>
      <c r="C338" s="14" t="str">
        <f aca="false">IFERROR(IF($B338="","",INDEX(Inventory!$B$3:$B$253,MATCH($B338,Inventory!$A$3:$A$253,0))),"")</f>
        <v/>
      </c>
      <c r="D338" s="15"/>
      <c r="E338" s="11"/>
      <c r="F338" s="11" t="str">
        <f aca="false">IF($D338="","",$D338*$E338)</f>
        <v/>
      </c>
      <c r="G338" s="11" t="str">
        <f aca="false">IFERROR(IF($B338="","",INDEX(Inventory!$G$3:$G$253,MATCH($B338,Inventory!$A$3:$A$253,0))),"")</f>
        <v/>
      </c>
      <c r="H338" s="11" t="str">
        <f aca="false">IF($D338="","",$D338*IFERROR($G338+0,0))</f>
        <v/>
      </c>
      <c r="I338" s="11"/>
      <c r="J338" s="11"/>
      <c r="K338" s="11" t="str">
        <f aca="false">IF($F338="","",$F338-$I338-$J338)</f>
        <v/>
      </c>
      <c r="L338" s="11" t="str">
        <f aca="false">IF($K338="","",$K338-$H338)</f>
        <v/>
      </c>
      <c r="M338" s="12" t="str">
        <f aca="false">IF(OR($F338="",$F338=0),"",$L338/$F338)</f>
        <v/>
      </c>
      <c r="N338" s="14"/>
      <c r="O338" s="14"/>
      <c r="P338" s="14"/>
      <c r="Q338" s="14"/>
    </row>
    <row r="339" customFormat="false" ht="15" hidden="false" customHeight="false" outlineLevel="0" collapsed="false">
      <c r="A339" s="16"/>
      <c r="B339" s="14"/>
      <c r="C339" s="14" t="str">
        <f aca="false">IFERROR(IF($B339="","",INDEX(Inventory!$B$3:$B$253,MATCH($B339,Inventory!$A$3:$A$253,0))),"")</f>
        <v/>
      </c>
      <c r="D339" s="15"/>
      <c r="E339" s="11"/>
      <c r="F339" s="11" t="str">
        <f aca="false">IF($D339="","",$D339*$E339)</f>
        <v/>
      </c>
      <c r="G339" s="11" t="str">
        <f aca="false">IFERROR(IF($B339="","",INDEX(Inventory!$G$3:$G$253,MATCH($B339,Inventory!$A$3:$A$253,0))),"")</f>
        <v/>
      </c>
      <c r="H339" s="11" t="str">
        <f aca="false">IF($D339="","",$D339*IFERROR($G339+0,0))</f>
        <v/>
      </c>
      <c r="I339" s="11"/>
      <c r="J339" s="11"/>
      <c r="K339" s="11" t="str">
        <f aca="false">IF($F339="","",$F339-$I339-$J339)</f>
        <v/>
      </c>
      <c r="L339" s="11" t="str">
        <f aca="false">IF($K339="","",$K339-$H339)</f>
        <v/>
      </c>
      <c r="M339" s="12" t="str">
        <f aca="false">IF(OR($F339="",$F339=0),"",$L339/$F339)</f>
        <v/>
      </c>
      <c r="N339" s="14"/>
      <c r="O339" s="14"/>
      <c r="P339" s="14"/>
      <c r="Q339" s="14"/>
    </row>
    <row r="340" customFormat="false" ht="15" hidden="false" customHeight="false" outlineLevel="0" collapsed="false">
      <c r="A340" s="16"/>
      <c r="B340" s="14"/>
      <c r="C340" s="14" t="str">
        <f aca="false">IFERROR(IF($B340="","",INDEX(Inventory!$B$3:$B$253,MATCH($B340,Inventory!$A$3:$A$253,0))),"")</f>
        <v/>
      </c>
      <c r="D340" s="15"/>
      <c r="E340" s="11"/>
      <c r="F340" s="11" t="str">
        <f aca="false">IF($D340="","",$D340*$E340)</f>
        <v/>
      </c>
      <c r="G340" s="11" t="str">
        <f aca="false">IFERROR(IF($B340="","",INDEX(Inventory!$G$3:$G$253,MATCH($B340,Inventory!$A$3:$A$253,0))),"")</f>
        <v/>
      </c>
      <c r="H340" s="11" t="str">
        <f aca="false">IF($D340="","",$D340*IFERROR($G340+0,0))</f>
        <v/>
      </c>
      <c r="I340" s="11"/>
      <c r="J340" s="11"/>
      <c r="K340" s="11" t="str">
        <f aca="false">IF($F340="","",$F340-$I340-$J340)</f>
        <v/>
      </c>
      <c r="L340" s="11" t="str">
        <f aca="false">IF($K340="","",$K340-$H340)</f>
        <v/>
      </c>
      <c r="M340" s="12" t="str">
        <f aca="false">IF(OR($F340="",$F340=0),"",$L340/$F340)</f>
        <v/>
      </c>
      <c r="N340" s="14"/>
      <c r="O340" s="14"/>
      <c r="P340" s="14"/>
      <c r="Q340" s="14"/>
    </row>
    <row r="341" customFormat="false" ht="15" hidden="false" customHeight="false" outlineLevel="0" collapsed="false">
      <c r="A341" s="16"/>
      <c r="B341" s="14"/>
      <c r="C341" s="14" t="str">
        <f aca="false">IFERROR(IF($B341="","",INDEX(Inventory!$B$3:$B$253,MATCH($B341,Inventory!$A$3:$A$253,0))),"")</f>
        <v/>
      </c>
      <c r="D341" s="15"/>
      <c r="E341" s="11"/>
      <c r="F341" s="11" t="str">
        <f aca="false">IF($D341="","",$D341*$E341)</f>
        <v/>
      </c>
      <c r="G341" s="11" t="str">
        <f aca="false">IFERROR(IF($B341="","",INDEX(Inventory!$G$3:$G$253,MATCH($B341,Inventory!$A$3:$A$253,0))),"")</f>
        <v/>
      </c>
      <c r="H341" s="11" t="str">
        <f aca="false">IF($D341="","",$D341*IFERROR($G341+0,0))</f>
        <v/>
      </c>
      <c r="I341" s="11"/>
      <c r="J341" s="11"/>
      <c r="K341" s="11" t="str">
        <f aca="false">IF($F341="","",$F341-$I341-$J341)</f>
        <v/>
      </c>
      <c r="L341" s="11" t="str">
        <f aca="false">IF($K341="","",$K341-$H341)</f>
        <v/>
      </c>
      <c r="M341" s="12" t="str">
        <f aca="false">IF(OR($F341="",$F341=0),"",$L341/$F341)</f>
        <v/>
      </c>
      <c r="N341" s="14"/>
      <c r="O341" s="14"/>
      <c r="P341" s="14"/>
      <c r="Q341" s="14"/>
    </row>
    <row r="342" customFormat="false" ht="15" hidden="false" customHeight="false" outlineLevel="0" collapsed="false">
      <c r="A342" s="16"/>
      <c r="B342" s="14"/>
      <c r="C342" s="14" t="str">
        <f aca="false">IFERROR(IF($B342="","",INDEX(Inventory!$B$3:$B$253,MATCH($B342,Inventory!$A$3:$A$253,0))),"")</f>
        <v/>
      </c>
      <c r="D342" s="15"/>
      <c r="E342" s="11"/>
      <c r="F342" s="11" t="str">
        <f aca="false">IF($D342="","",$D342*$E342)</f>
        <v/>
      </c>
      <c r="G342" s="11" t="str">
        <f aca="false">IFERROR(IF($B342="","",INDEX(Inventory!$G$3:$G$253,MATCH($B342,Inventory!$A$3:$A$253,0))),"")</f>
        <v/>
      </c>
      <c r="H342" s="11" t="str">
        <f aca="false">IF($D342="","",$D342*IFERROR($G342+0,0))</f>
        <v/>
      </c>
      <c r="I342" s="11"/>
      <c r="J342" s="11"/>
      <c r="K342" s="11" t="str">
        <f aca="false">IF($F342="","",$F342-$I342-$J342)</f>
        <v/>
      </c>
      <c r="L342" s="11" t="str">
        <f aca="false">IF($K342="","",$K342-$H342)</f>
        <v/>
      </c>
      <c r="M342" s="12" t="str">
        <f aca="false">IF(OR($F342="",$F342=0),"",$L342/$F342)</f>
        <v/>
      </c>
      <c r="N342" s="14"/>
      <c r="O342" s="14"/>
      <c r="P342" s="14"/>
      <c r="Q342" s="14"/>
    </row>
    <row r="343" customFormat="false" ht="15" hidden="false" customHeight="false" outlineLevel="0" collapsed="false">
      <c r="A343" s="16"/>
      <c r="B343" s="14"/>
      <c r="C343" s="14" t="str">
        <f aca="false">IFERROR(IF($B343="","",INDEX(Inventory!$B$3:$B$253,MATCH($B343,Inventory!$A$3:$A$253,0))),"")</f>
        <v/>
      </c>
      <c r="D343" s="15"/>
      <c r="E343" s="11"/>
      <c r="F343" s="11" t="str">
        <f aca="false">IF($D343="","",$D343*$E343)</f>
        <v/>
      </c>
      <c r="G343" s="11" t="str">
        <f aca="false">IFERROR(IF($B343="","",INDEX(Inventory!$G$3:$G$253,MATCH($B343,Inventory!$A$3:$A$253,0))),"")</f>
        <v/>
      </c>
      <c r="H343" s="11" t="str">
        <f aca="false">IF($D343="","",$D343*IFERROR($G343+0,0))</f>
        <v/>
      </c>
      <c r="I343" s="11"/>
      <c r="J343" s="11"/>
      <c r="K343" s="11" t="str">
        <f aca="false">IF($F343="","",$F343-$I343-$J343)</f>
        <v/>
      </c>
      <c r="L343" s="11" t="str">
        <f aca="false">IF($K343="","",$K343-$H343)</f>
        <v/>
      </c>
      <c r="M343" s="12" t="str">
        <f aca="false">IF(OR($F343="",$F343=0),"",$L343/$F343)</f>
        <v/>
      </c>
      <c r="N343" s="14"/>
      <c r="O343" s="14"/>
      <c r="P343" s="14"/>
      <c r="Q343" s="14"/>
    </row>
    <row r="344" customFormat="false" ht="15" hidden="false" customHeight="false" outlineLevel="0" collapsed="false">
      <c r="A344" s="16"/>
      <c r="B344" s="14"/>
      <c r="C344" s="14" t="str">
        <f aca="false">IFERROR(IF($B344="","",INDEX(Inventory!$B$3:$B$253,MATCH($B344,Inventory!$A$3:$A$253,0))),"")</f>
        <v/>
      </c>
      <c r="D344" s="15"/>
      <c r="E344" s="11"/>
      <c r="F344" s="11" t="str">
        <f aca="false">IF($D344="","",$D344*$E344)</f>
        <v/>
      </c>
      <c r="G344" s="11" t="str">
        <f aca="false">IFERROR(IF($B344="","",INDEX(Inventory!$G$3:$G$253,MATCH($B344,Inventory!$A$3:$A$253,0))),"")</f>
        <v/>
      </c>
      <c r="H344" s="11" t="str">
        <f aca="false">IF($D344="","",$D344*IFERROR($G344+0,0))</f>
        <v/>
      </c>
      <c r="I344" s="11"/>
      <c r="J344" s="11"/>
      <c r="K344" s="11" t="str">
        <f aca="false">IF($F344="","",$F344-$I344-$J344)</f>
        <v/>
      </c>
      <c r="L344" s="11" t="str">
        <f aca="false">IF($K344="","",$K344-$H344)</f>
        <v/>
      </c>
      <c r="M344" s="12" t="str">
        <f aca="false">IF(OR($F344="",$F344=0),"",$L344/$F344)</f>
        <v/>
      </c>
      <c r="N344" s="14"/>
      <c r="O344" s="14"/>
      <c r="P344" s="14"/>
      <c r="Q344" s="14"/>
    </row>
    <row r="345" customFormat="false" ht="15" hidden="false" customHeight="false" outlineLevel="0" collapsed="false">
      <c r="A345" s="16"/>
      <c r="B345" s="14"/>
      <c r="C345" s="14" t="str">
        <f aca="false">IFERROR(IF($B345="","",INDEX(Inventory!$B$3:$B$253,MATCH($B345,Inventory!$A$3:$A$253,0))),"")</f>
        <v/>
      </c>
      <c r="D345" s="15"/>
      <c r="E345" s="11"/>
      <c r="F345" s="11" t="str">
        <f aca="false">IF($D345="","",$D345*$E345)</f>
        <v/>
      </c>
      <c r="G345" s="11" t="str">
        <f aca="false">IFERROR(IF($B345="","",INDEX(Inventory!$G$3:$G$253,MATCH($B345,Inventory!$A$3:$A$253,0))),"")</f>
        <v/>
      </c>
      <c r="H345" s="11" t="str">
        <f aca="false">IF($D345="","",$D345*IFERROR($G345+0,0))</f>
        <v/>
      </c>
      <c r="I345" s="11"/>
      <c r="J345" s="11"/>
      <c r="K345" s="11" t="str">
        <f aca="false">IF($F345="","",$F345-$I345-$J345)</f>
        <v/>
      </c>
      <c r="L345" s="11" t="str">
        <f aca="false">IF($K345="","",$K345-$H345)</f>
        <v/>
      </c>
      <c r="M345" s="12" t="str">
        <f aca="false">IF(OR($F345="",$F345=0),"",$L345/$F345)</f>
        <v/>
      </c>
      <c r="N345" s="14"/>
      <c r="O345" s="14"/>
      <c r="P345" s="14"/>
      <c r="Q345" s="14"/>
    </row>
    <row r="346" customFormat="false" ht="15" hidden="false" customHeight="false" outlineLevel="0" collapsed="false">
      <c r="A346" s="16"/>
      <c r="B346" s="14"/>
      <c r="C346" s="14" t="str">
        <f aca="false">IFERROR(IF($B346="","",INDEX(Inventory!$B$3:$B$253,MATCH($B346,Inventory!$A$3:$A$253,0))),"")</f>
        <v/>
      </c>
      <c r="D346" s="15"/>
      <c r="E346" s="11"/>
      <c r="F346" s="11" t="str">
        <f aca="false">IF($D346="","",$D346*$E346)</f>
        <v/>
      </c>
      <c r="G346" s="11" t="str">
        <f aca="false">IFERROR(IF($B346="","",INDEX(Inventory!$G$3:$G$253,MATCH($B346,Inventory!$A$3:$A$253,0))),"")</f>
        <v/>
      </c>
      <c r="H346" s="11" t="str">
        <f aca="false">IF($D346="","",$D346*IFERROR($G346+0,0))</f>
        <v/>
      </c>
      <c r="I346" s="11"/>
      <c r="J346" s="11"/>
      <c r="K346" s="11" t="str">
        <f aca="false">IF($F346="","",$F346-$I346-$J346)</f>
        <v/>
      </c>
      <c r="L346" s="11" t="str">
        <f aca="false">IF($K346="","",$K346-$H346)</f>
        <v/>
      </c>
      <c r="M346" s="12" t="str">
        <f aca="false">IF(OR($F346="",$F346=0),"",$L346/$F346)</f>
        <v/>
      </c>
      <c r="N346" s="14"/>
      <c r="O346" s="14"/>
      <c r="P346" s="14"/>
      <c r="Q346" s="14"/>
    </row>
    <row r="347" customFormat="false" ht="15" hidden="false" customHeight="false" outlineLevel="0" collapsed="false">
      <c r="A347" s="16"/>
      <c r="B347" s="14"/>
      <c r="C347" s="14" t="str">
        <f aca="false">IFERROR(IF($B347="","",INDEX(Inventory!$B$3:$B$253,MATCH($B347,Inventory!$A$3:$A$253,0))),"")</f>
        <v/>
      </c>
      <c r="D347" s="15"/>
      <c r="E347" s="11"/>
      <c r="F347" s="11" t="str">
        <f aca="false">IF($D347="","",$D347*$E347)</f>
        <v/>
      </c>
      <c r="G347" s="11" t="str">
        <f aca="false">IFERROR(IF($B347="","",INDEX(Inventory!$G$3:$G$253,MATCH($B347,Inventory!$A$3:$A$253,0))),"")</f>
        <v/>
      </c>
      <c r="H347" s="11" t="str">
        <f aca="false">IF($D347="","",$D347*IFERROR($G347+0,0))</f>
        <v/>
      </c>
      <c r="I347" s="11"/>
      <c r="J347" s="11"/>
      <c r="K347" s="11" t="str">
        <f aca="false">IF($F347="","",$F347-$I347-$J347)</f>
        <v/>
      </c>
      <c r="L347" s="11" t="str">
        <f aca="false">IF($K347="","",$K347-$H347)</f>
        <v/>
      </c>
      <c r="M347" s="12" t="str">
        <f aca="false">IF(OR($F347="",$F347=0),"",$L347/$F347)</f>
        <v/>
      </c>
      <c r="N347" s="14"/>
      <c r="O347" s="14"/>
      <c r="P347" s="14"/>
      <c r="Q347" s="14"/>
    </row>
    <row r="348" customFormat="false" ht="15" hidden="false" customHeight="false" outlineLevel="0" collapsed="false">
      <c r="A348" s="16"/>
      <c r="B348" s="14"/>
      <c r="C348" s="14" t="str">
        <f aca="false">IFERROR(IF($B348="","",INDEX(Inventory!$B$3:$B$253,MATCH($B348,Inventory!$A$3:$A$253,0))),"")</f>
        <v/>
      </c>
      <c r="D348" s="15"/>
      <c r="E348" s="11"/>
      <c r="F348" s="11" t="str">
        <f aca="false">IF($D348="","",$D348*$E348)</f>
        <v/>
      </c>
      <c r="G348" s="11" t="str">
        <f aca="false">IFERROR(IF($B348="","",INDEX(Inventory!$G$3:$G$253,MATCH($B348,Inventory!$A$3:$A$253,0))),"")</f>
        <v/>
      </c>
      <c r="H348" s="11" t="str">
        <f aca="false">IF($D348="","",$D348*IFERROR($G348+0,0))</f>
        <v/>
      </c>
      <c r="I348" s="11"/>
      <c r="J348" s="11"/>
      <c r="K348" s="11" t="str">
        <f aca="false">IF($F348="","",$F348-$I348-$J348)</f>
        <v/>
      </c>
      <c r="L348" s="11" t="str">
        <f aca="false">IF($K348="","",$K348-$H348)</f>
        <v/>
      </c>
      <c r="M348" s="12" t="str">
        <f aca="false">IF(OR($F348="",$F348=0),"",$L348/$F348)</f>
        <v/>
      </c>
      <c r="N348" s="14"/>
      <c r="O348" s="14"/>
      <c r="P348" s="14"/>
      <c r="Q348" s="14"/>
    </row>
    <row r="349" customFormat="false" ht="15" hidden="false" customHeight="false" outlineLevel="0" collapsed="false">
      <c r="A349" s="16"/>
      <c r="B349" s="14"/>
      <c r="C349" s="14" t="str">
        <f aca="false">IFERROR(IF($B349="","",INDEX(Inventory!$B$3:$B$253,MATCH($B349,Inventory!$A$3:$A$253,0))),"")</f>
        <v/>
      </c>
      <c r="D349" s="15"/>
      <c r="E349" s="11"/>
      <c r="F349" s="11" t="str">
        <f aca="false">IF($D349="","",$D349*$E349)</f>
        <v/>
      </c>
      <c r="G349" s="11" t="str">
        <f aca="false">IFERROR(IF($B349="","",INDEX(Inventory!$G$3:$G$253,MATCH($B349,Inventory!$A$3:$A$253,0))),"")</f>
        <v/>
      </c>
      <c r="H349" s="11" t="str">
        <f aca="false">IF($D349="","",$D349*IFERROR($G349+0,0))</f>
        <v/>
      </c>
      <c r="I349" s="11"/>
      <c r="J349" s="11"/>
      <c r="K349" s="11" t="str">
        <f aca="false">IF($F349="","",$F349-$I349-$J349)</f>
        <v/>
      </c>
      <c r="L349" s="11" t="str">
        <f aca="false">IF($K349="","",$K349-$H349)</f>
        <v/>
      </c>
      <c r="M349" s="12" t="str">
        <f aca="false">IF(OR($F349="",$F349=0),"",$L349/$F349)</f>
        <v/>
      </c>
      <c r="N349" s="14"/>
      <c r="O349" s="14"/>
      <c r="P349" s="14"/>
      <c r="Q349" s="14"/>
    </row>
    <row r="350" customFormat="false" ht="15" hidden="false" customHeight="false" outlineLevel="0" collapsed="false">
      <c r="A350" s="16"/>
      <c r="B350" s="14"/>
      <c r="C350" s="14" t="str">
        <f aca="false">IFERROR(IF($B350="","",INDEX(Inventory!$B$3:$B$253,MATCH($B350,Inventory!$A$3:$A$253,0))),"")</f>
        <v/>
      </c>
      <c r="D350" s="15"/>
      <c r="E350" s="11"/>
      <c r="F350" s="11" t="str">
        <f aca="false">IF($D350="","",$D350*$E350)</f>
        <v/>
      </c>
      <c r="G350" s="11" t="str">
        <f aca="false">IFERROR(IF($B350="","",INDEX(Inventory!$G$3:$G$253,MATCH($B350,Inventory!$A$3:$A$253,0))),"")</f>
        <v/>
      </c>
      <c r="H350" s="11" t="str">
        <f aca="false">IF($D350="","",$D350*IFERROR($G350+0,0))</f>
        <v/>
      </c>
      <c r="I350" s="11"/>
      <c r="J350" s="11"/>
      <c r="K350" s="11" t="str">
        <f aca="false">IF($F350="","",$F350-$I350-$J350)</f>
        <v/>
      </c>
      <c r="L350" s="11" t="str">
        <f aca="false">IF($K350="","",$K350-$H350)</f>
        <v/>
      </c>
      <c r="M350" s="12" t="str">
        <f aca="false">IF(OR($F350="",$F350=0),"",$L350/$F350)</f>
        <v/>
      </c>
      <c r="N350" s="14"/>
      <c r="O350" s="14"/>
      <c r="P350" s="14"/>
      <c r="Q350" s="14"/>
    </row>
    <row r="351" customFormat="false" ht="15" hidden="false" customHeight="false" outlineLevel="0" collapsed="false">
      <c r="A351" s="16"/>
      <c r="B351" s="14"/>
      <c r="C351" s="14" t="str">
        <f aca="false">IFERROR(IF($B351="","",INDEX(Inventory!$B$3:$B$253,MATCH($B351,Inventory!$A$3:$A$253,0))),"")</f>
        <v/>
      </c>
      <c r="D351" s="15"/>
      <c r="E351" s="11"/>
      <c r="F351" s="11" t="str">
        <f aca="false">IF($D351="","",$D351*$E351)</f>
        <v/>
      </c>
      <c r="G351" s="11" t="str">
        <f aca="false">IFERROR(IF($B351="","",INDEX(Inventory!$G$3:$G$253,MATCH($B351,Inventory!$A$3:$A$253,0))),"")</f>
        <v/>
      </c>
      <c r="H351" s="11" t="str">
        <f aca="false">IF($D351="","",$D351*IFERROR($G351+0,0))</f>
        <v/>
      </c>
      <c r="I351" s="11"/>
      <c r="J351" s="11"/>
      <c r="K351" s="11" t="str">
        <f aca="false">IF($F351="","",$F351-$I351-$J351)</f>
        <v/>
      </c>
      <c r="L351" s="11" t="str">
        <f aca="false">IF($K351="","",$K351-$H351)</f>
        <v/>
      </c>
      <c r="M351" s="12" t="str">
        <f aca="false">IF(OR($F351="",$F351=0),"",$L351/$F351)</f>
        <v/>
      </c>
      <c r="N351" s="14"/>
      <c r="O351" s="14"/>
      <c r="P351" s="14"/>
      <c r="Q351" s="14"/>
    </row>
    <row r="352" customFormat="false" ht="15" hidden="false" customHeight="false" outlineLevel="0" collapsed="false">
      <c r="A352" s="16"/>
      <c r="B352" s="14"/>
      <c r="C352" s="14" t="str">
        <f aca="false">IFERROR(IF($B352="","",INDEX(Inventory!$B$3:$B$253,MATCH($B352,Inventory!$A$3:$A$253,0))),"")</f>
        <v/>
      </c>
      <c r="D352" s="15"/>
      <c r="E352" s="11"/>
      <c r="F352" s="11" t="str">
        <f aca="false">IF($D352="","",$D352*$E352)</f>
        <v/>
      </c>
      <c r="G352" s="11" t="str">
        <f aca="false">IFERROR(IF($B352="","",INDEX(Inventory!$G$3:$G$253,MATCH($B352,Inventory!$A$3:$A$253,0))),"")</f>
        <v/>
      </c>
      <c r="H352" s="11" t="str">
        <f aca="false">IF($D352="","",$D352*IFERROR($G352+0,0))</f>
        <v/>
      </c>
      <c r="I352" s="11"/>
      <c r="J352" s="11"/>
      <c r="K352" s="11" t="str">
        <f aca="false">IF($F352="","",$F352-$I352-$J352)</f>
        <v/>
      </c>
      <c r="L352" s="11" t="str">
        <f aca="false">IF($K352="","",$K352-$H352)</f>
        <v/>
      </c>
      <c r="M352" s="12" t="str">
        <f aca="false">IF(OR($F352="",$F352=0),"",$L352/$F352)</f>
        <v/>
      </c>
      <c r="N352" s="14"/>
      <c r="O352" s="14"/>
      <c r="P352" s="14"/>
      <c r="Q352" s="14"/>
    </row>
    <row r="353" customFormat="false" ht="15" hidden="false" customHeight="false" outlineLevel="0" collapsed="false">
      <c r="A353" s="16"/>
      <c r="B353" s="14"/>
      <c r="C353" s="14" t="str">
        <f aca="false">IFERROR(IF($B353="","",INDEX(Inventory!$B$3:$B$253,MATCH($B353,Inventory!$A$3:$A$253,0))),"")</f>
        <v/>
      </c>
      <c r="D353" s="15"/>
      <c r="E353" s="11"/>
      <c r="F353" s="11" t="str">
        <f aca="false">IF($D353="","",$D353*$E353)</f>
        <v/>
      </c>
      <c r="G353" s="11" t="str">
        <f aca="false">IFERROR(IF($B353="","",INDEX(Inventory!$G$3:$G$253,MATCH($B353,Inventory!$A$3:$A$253,0))),"")</f>
        <v/>
      </c>
      <c r="H353" s="11" t="str">
        <f aca="false">IF($D353="","",$D353*IFERROR($G353+0,0))</f>
        <v/>
      </c>
      <c r="I353" s="11"/>
      <c r="J353" s="11"/>
      <c r="K353" s="11" t="str">
        <f aca="false">IF($F353="","",$F353-$I353-$J353)</f>
        <v/>
      </c>
      <c r="L353" s="11" t="str">
        <f aca="false">IF($K353="","",$K353-$H353)</f>
        <v/>
      </c>
      <c r="M353" s="12" t="str">
        <f aca="false">IF(OR($F353="",$F353=0),"",$L353/$F353)</f>
        <v/>
      </c>
      <c r="N353" s="14"/>
      <c r="O353" s="14"/>
      <c r="P353" s="14"/>
      <c r="Q353" s="14"/>
    </row>
    <row r="354" customFormat="false" ht="15" hidden="false" customHeight="false" outlineLevel="0" collapsed="false">
      <c r="A354" s="16"/>
      <c r="B354" s="14"/>
      <c r="C354" s="14" t="str">
        <f aca="false">IFERROR(IF($B354="","",INDEX(Inventory!$B$3:$B$253,MATCH($B354,Inventory!$A$3:$A$253,0))),"")</f>
        <v/>
      </c>
      <c r="D354" s="15"/>
      <c r="E354" s="11"/>
      <c r="F354" s="11" t="str">
        <f aca="false">IF($D354="","",$D354*$E354)</f>
        <v/>
      </c>
      <c r="G354" s="11" t="str">
        <f aca="false">IFERROR(IF($B354="","",INDEX(Inventory!$G$3:$G$253,MATCH($B354,Inventory!$A$3:$A$253,0))),"")</f>
        <v/>
      </c>
      <c r="H354" s="11" t="str">
        <f aca="false">IF($D354="","",$D354*IFERROR($G354+0,0))</f>
        <v/>
      </c>
      <c r="I354" s="11"/>
      <c r="J354" s="11"/>
      <c r="K354" s="11" t="str">
        <f aca="false">IF($F354="","",$F354-$I354-$J354)</f>
        <v/>
      </c>
      <c r="L354" s="11" t="str">
        <f aca="false">IF($K354="","",$K354-$H354)</f>
        <v/>
      </c>
      <c r="M354" s="12" t="str">
        <f aca="false">IF(OR($F354="",$F354=0),"",$L354/$F354)</f>
        <v/>
      </c>
      <c r="N354" s="14"/>
      <c r="O354" s="14"/>
      <c r="P354" s="14"/>
      <c r="Q354" s="14"/>
    </row>
    <row r="355" customFormat="false" ht="15" hidden="false" customHeight="false" outlineLevel="0" collapsed="false">
      <c r="A355" s="16"/>
      <c r="B355" s="14"/>
      <c r="C355" s="14" t="str">
        <f aca="false">IFERROR(IF($B355="","",INDEX(Inventory!$B$3:$B$253,MATCH($B355,Inventory!$A$3:$A$253,0))),"")</f>
        <v/>
      </c>
      <c r="D355" s="15"/>
      <c r="E355" s="11"/>
      <c r="F355" s="11" t="str">
        <f aca="false">IF($D355="","",$D355*$E355)</f>
        <v/>
      </c>
      <c r="G355" s="11" t="str">
        <f aca="false">IFERROR(IF($B355="","",INDEX(Inventory!$G$3:$G$253,MATCH($B355,Inventory!$A$3:$A$253,0))),"")</f>
        <v/>
      </c>
      <c r="H355" s="11" t="str">
        <f aca="false">IF($D355="","",$D355*IFERROR($G355+0,0))</f>
        <v/>
      </c>
      <c r="I355" s="11"/>
      <c r="J355" s="11"/>
      <c r="K355" s="11" t="str">
        <f aca="false">IF($F355="","",$F355-$I355-$J355)</f>
        <v/>
      </c>
      <c r="L355" s="11" t="str">
        <f aca="false">IF($K355="","",$K355-$H355)</f>
        <v/>
      </c>
      <c r="M355" s="12" t="str">
        <f aca="false">IF(OR($F355="",$F355=0),"",$L355/$F355)</f>
        <v/>
      </c>
      <c r="N355" s="14"/>
      <c r="O355" s="14"/>
      <c r="P355" s="14"/>
      <c r="Q355" s="14"/>
    </row>
    <row r="356" customFormat="false" ht="15" hidden="false" customHeight="false" outlineLevel="0" collapsed="false">
      <c r="A356" s="16"/>
      <c r="B356" s="14"/>
      <c r="C356" s="14" t="str">
        <f aca="false">IFERROR(IF($B356="","",INDEX(Inventory!$B$3:$B$253,MATCH($B356,Inventory!$A$3:$A$253,0))),"")</f>
        <v/>
      </c>
      <c r="D356" s="15"/>
      <c r="E356" s="11"/>
      <c r="F356" s="11" t="str">
        <f aca="false">IF($D356="","",$D356*$E356)</f>
        <v/>
      </c>
      <c r="G356" s="11" t="str">
        <f aca="false">IFERROR(IF($B356="","",INDEX(Inventory!$G$3:$G$253,MATCH($B356,Inventory!$A$3:$A$253,0))),"")</f>
        <v/>
      </c>
      <c r="H356" s="11" t="str">
        <f aca="false">IF($D356="","",$D356*IFERROR($G356+0,0))</f>
        <v/>
      </c>
      <c r="I356" s="11"/>
      <c r="J356" s="11"/>
      <c r="K356" s="11" t="str">
        <f aca="false">IF($F356="","",$F356-$I356-$J356)</f>
        <v/>
      </c>
      <c r="L356" s="11" t="str">
        <f aca="false">IF($K356="","",$K356-$H356)</f>
        <v/>
      </c>
      <c r="M356" s="12" t="str">
        <f aca="false">IF(OR($F356="",$F356=0),"",$L356/$F356)</f>
        <v/>
      </c>
      <c r="N356" s="14"/>
      <c r="O356" s="14"/>
      <c r="P356" s="14"/>
      <c r="Q356" s="14"/>
    </row>
    <row r="357" customFormat="false" ht="15" hidden="false" customHeight="false" outlineLevel="0" collapsed="false">
      <c r="A357" s="16"/>
      <c r="B357" s="14"/>
      <c r="C357" s="14" t="str">
        <f aca="false">IFERROR(IF($B357="","",INDEX(Inventory!$B$3:$B$253,MATCH($B357,Inventory!$A$3:$A$253,0))),"")</f>
        <v/>
      </c>
      <c r="D357" s="15"/>
      <c r="E357" s="11"/>
      <c r="F357" s="11" t="str">
        <f aca="false">IF($D357="","",$D357*$E357)</f>
        <v/>
      </c>
      <c r="G357" s="11" t="str">
        <f aca="false">IFERROR(IF($B357="","",INDEX(Inventory!$G$3:$G$253,MATCH($B357,Inventory!$A$3:$A$253,0))),"")</f>
        <v/>
      </c>
      <c r="H357" s="11" t="str">
        <f aca="false">IF($D357="","",$D357*IFERROR($G357+0,0))</f>
        <v/>
      </c>
      <c r="I357" s="11"/>
      <c r="J357" s="11"/>
      <c r="K357" s="11" t="str">
        <f aca="false">IF($F357="","",$F357-$I357-$J357)</f>
        <v/>
      </c>
      <c r="L357" s="11" t="str">
        <f aca="false">IF($K357="","",$K357-$H357)</f>
        <v/>
      </c>
      <c r="M357" s="12" t="str">
        <f aca="false">IF(OR($F357="",$F357=0),"",$L357/$F357)</f>
        <v/>
      </c>
      <c r="N357" s="14"/>
      <c r="O357" s="14"/>
      <c r="P357" s="14"/>
      <c r="Q357" s="14"/>
    </row>
    <row r="358" customFormat="false" ht="15" hidden="false" customHeight="false" outlineLevel="0" collapsed="false">
      <c r="A358" s="16"/>
      <c r="B358" s="14"/>
      <c r="C358" s="14" t="str">
        <f aca="false">IFERROR(IF($B358="","",INDEX(Inventory!$B$3:$B$253,MATCH($B358,Inventory!$A$3:$A$253,0))),"")</f>
        <v/>
      </c>
      <c r="D358" s="15"/>
      <c r="E358" s="11"/>
      <c r="F358" s="11" t="str">
        <f aca="false">IF($D358="","",$D358*$E358)</f>
        <v/>
      </c>
      <c r="G358" s="11" t="str">
        <f aca="false">IFERROR(IF($B358="","",INDEX(Inventory!$G$3:$G$253,MATCH($B358,Inventory!$A$3:$A$253,0))),"")</f>
        <v/>
      </c>
      <c r="H358" s="11" t="str">
        <f aca="false">IF($D358="","",$D358*IFERROR($G358+0,0))</f>
        <v/>
      </c>
      <c r="I358" s="11"/>
      <c r="J358" s="11"/>
      <c r="K358" s="11" t="str">
        <f aca="false">IF($F358="","",$F358-$I358-$J358)</f>
        <v/>
      </c>
      <c r="L358" s="11" t="str">
        <f aca="false">IF($K358="","",$K358-$H358)</f>
        <v/>
      </c>
      <c r="M358" s="12" t="str">
        <f aca="false">IF(OR($F358="",$F358=0),"",$L358/$F358)</f>
        <v/>
      </c>
      <c r="N358" s="14"/>
      <c r="O358" s="14"/>
      <c r="P358" s="14"/>
      <c r="Q358" s="14"/>
    </row>
    <row r="359" customFormat="false" ht="15" hidden="false" customHeight="false" outlineLevel="0" collapsed="false">
      <c r="A359" s="16"/>
      <c r="B359" s="14"/>
      <c r="C359" s="14" t="str">
        <f aca="false">IFERROR(IF($B359="","",INDEX(Inventory!$B$3:$B$253,MATCH($B359,Inventory!$A$3:$A$253,0))),"")</f>
        <v/>
      </c>
      <c r="D359" s="15"/>
      <c r="E359" s="11"/>
      <c r="F359" s="11" t="str">
        <f aca="false">IF($D359="","",$D359*$E359)</f>
        <v/>
      </c>
      <c r="G359" s="11" t="str">
        <f aca="false">IFERROR(IF($B359="","",INDEX(Inventory!$G$3:$G$253,MATCH($B359,Inventory!$A$3:$A$253,0))),"")</f>
        <v/>
      </c>
      <c r="H359" s="11" t="str">
        <f aca="false">IF($D359="","",$D359*IFERROR($G359+0,0))</f>
        <v/>
      </c>
      <c r="I359" s="11"/>
      <c r="J359" s="11"/>
      <c r="K359" s="11" t="str">
        <f aca="false">IF($F359="","",$F359-$I359-$J359)</f>
        <v/>
      </c>
      <c r="L359" s="11" t="str">
        <f aca="false">IF($K359="","",$K359-$H359)</f>
        <v/>
      </c>
      <c r="M359" s="12" t="str">
        <f aca="false">IF(OR($F359="",$F359=0),"",$L359/$F359)</f>
        <v/>
      </c>
      <c r="N359" s="14"/>
      <c r="O359" s="14"/>
      <c r="P359" s="14"/>
      <c r="Q359" s="14"/>
    </row>
    <row r="360" customFormat="false" ht="15" hidden="false" customHeight="false" outlineLevel="0" collapsed="false">
      <c r="A360" s="16"/>
      <c r="B360" s="14"/>
      <c r="C360" s="14" t="str">
        <f aca="false">IFERROR(IF($B360="","",INDEX(Inventory!$B$3:$B$253,MATCH($B360,Inventory!$A$3:$A$253,0))),"")</f>
        <v/>
      </c>
      <c r="D360" s="15"/>
      <c r="E360" s="11"/>
      <c r="F360" s="11" t="str">
        <f aca="false">IF($D360="","",$D360*$E360)</f>
        <v/>
      </c>
      <c r="G360" s="11" t="str">
        <f aca="false">IFERROR(IF($B360="","",INDEX(Inventory!$G$3:$G$253,MATCH($B360,Inventory!$A$3:$A$253,0))),"")</f>
        <v/>
      </c>
      <c r="H360" s="11" t="str">
        <f aca="false">IF($D360="","",$D360*IFERROR($G360+0,0))</f>
        <v/>
      </c>
      <c r="I360" s="11"/>
      <c r="J360" s="11"/>
      <c r="K360" s="11" t="str">
        <f aca="false">IF($F360="","",$F360-$I360-$J360)</f>
        <v/>
      </c>
      <c r="L360" s="11" t="str">
        <f aca="false">IF($K360="","",$K360-$H360)</f>
        <v/>
      </c>
      <c r="M360" s="12" t="str">
        <f aca="false">IF(OR($F360="",$F360=0),"",$L360/$F360)</f>
        <v/>
      </c>
      <c r="N360" s="14"/>
      <c r="O360" s="14"/>
      <c r="P360" s="14"/>
      <c r="Q360" s="14"/>
    </row>
    <row r="361" customFormat="false" ht="15" hidden="false" customHeight="false" outlineLevel="0" collapsed="false">
      <c r="A361" s="16"/>
      <c r="B361" s="14"/>
      <c r="C361" s="14" t="str">
        <f aca="false">IFERROR(IF($B361="","",INDEX(Inventory!$B$3:$B$253,MATCH($B361,Inventory!$A$3:$A$253,0))),"")</f>
        <v/>
      </c>
      <c r="D361" s="15"/>
      <c r="E361" s="11"/>
      <c r="F361" s="11" t="str">
        <f aca="false">IF($D361="","",$D361*$E361)</f>
        <v/>
      </c>
      <c r="G361" s="11" t="str">
        <f aca="false">IFERROR(IF($B361="","",INDEX(Inventory!$G$3:$G$253,MATCH($B361,Inventory!$A$3:$A$253,0))),"")</f>
        <v/>
      </c>
      <c r="H361" s="11" t="str">
        <f aca="false">IF($D361="","",$D361*IFERROR($G361+0,0))</f>
        <v/>
      </c>
      <c r="I361" s="11"/>
      <c r="J361" s="11"/>
      <c r="K361" s="11" t="str">
        <f aca="false">IF($F361="","",$F361-$I361-$J361)</f>
        <v/>
      </c>
      <c r="L361" s="11" t="str">
        <f aca="false">IF($K361="","",$K361-$H361)</f>
        <v/>
      </c>
      <c r="M361" s="12" t="str">
        <f aca="false">IF(OR($F361="",$F361=0),"",$L361/$F361)</f>
        <v/>
      </c>
      <c r="N361" s="14"/>
      <c r="O361" s="14"/>
      <c r="P361" s="14"/>
      <c r="Q361" s="14"/>
    </row>
    <row r="362" customFormat="false" ht="15" hidden="false" customHeight="false" outlineLevel="0" collapsed="false">
      <c r="A362" s="16"/>
      <c r="B362" s="14"/>
      <c r="C362" s="14" t="str">
        <f aca="false">IFERROR(IF($B362="","",INDEX(Inventory!$B$3:$B$253,MATCH($B362,Inventory!$A$3:$A$253,0))),"")</f>
        <v/>
      </c>
      <c r="D362" s="15"/>
      <c r="E362" s="11"/>
      <c r="F362" s="11" t="str">
        <f aca="false">IF($D362="","",$D362*$E362)</f>
        <v/>
      </c>
      <c r="G362" s="11" t="str">
        <f aca="false">IFERROR(IF($B362="","",INDEX(Inventory!$G$3:$G$253,MATCH($B362,Inventory!$A$3:$A$253,0))),"")</f>
        <v/>
      </c>
      <c r="H362" s="11" t="str">
        <f aca="false">IF($D362="","",$D362*IFERROR($G362+0,0))</f>
        <v/>
      </c>
      <c r="I362" s="11"/>
      <c r="J362" s="11"/>
      <c r="K362" s="11" t="str">
        <f aca="false">IF($F362="","",$F362-$I362-$J362)</f>
        <v/>
      </c>
      <c r="L362" s="11" t="str">
        <f aca="false">IF($K362="","",$K362-$H362)</f>
        <v/>
      </c>
      <c r="M362" s="12" t="str">
        <f aca="false">IF(OR($F362="",$F362=0),"",$L362/$F362)</f>
        <v/>
      </c>
      <c r="N362" s="14"/>
      <c r="O362" s="14"/>
      <c r="P362" s="14"/>
      <c r="Q362" s="14"/>
    </row>
    <row r="363" customFormat="false" ht="15" hidden="false" customHeight="false" outlineLevel="0" collapsed="false">
      <c r="A363" s="16"/>
      <c r="B363" s="14"/>
      <c r="C363" s="14" t="str">
        <f aca="false">IFERROR(IF($B363="","",INDEX(Inventory!$B$3:$B$253,MATCH($B363,Inventory!$A$3:$A$253,0))),"")</f>
        <v/>
      </c>
      <c r="D363" s="15"/>
      <c r="E363" s="11"/>
      <c r="F363" s="11" t="str">
        <f aca="false">IF($D363="","",$D363*$E363)</f>
        <v/>
      </c>
      <c r="G363" s="11" t="str">
        <f aca="false">IFERROR(IF($B363="","",INDEX(Inventory!$G$3:$G$253,MATCH($B363,Inventory!$A$3:$A$253,0))),"")</f>
        <v/>
      </c>
      <c r="H363" s="11" t="str">
        <f aca="false">IF($D363="","",$D363*IFERROR($G363+0,0))</f>
        <v/>
      </c>
      <c r="I363" s="11"/>
      <c r="J363" s="11"/>
      <c r="K363" s="11" t="str">
        <f aca="false">IF($F363="","",$F363-$I363-$J363)</f>
        <v/>
      </c>
      <c r="L363" s="11" t="str">
        <f aca="false">IF($K363="","",$K363-$H363)</f>
        <v/>
      </c>
      <c r="M363" s="12" t="str">
        <f aca="false">IF(OR($F363="",$F363=0),"",$L363/$F363)</f>
        <v/>
      </c>
      <c r="N363" s="14"/>
      <c r="O363" s="14"/>
      <c r="P363" s="14"/>
      <c r="Q363" s="14"/>
    </row>
    <row r="364" customFormat="false" ht="15" hidden="false" customHeight="false" outlineLevel="0" collapsed="false">
      <c r="A364" s="16"/>
      <c r="B364" s="14"/>
      <c r="C364" s="14" t="str">
        <f aca="false">IFERROR(IF($B364="","",INDEX(Inventory!$B$3:$B$253,MATCH($B364,Inventory!$A$3:$A$253,0))),"")</f>
        <v/>
      </c>
      <c r="D364" s="15"/>
      <c r="E364" s="11"/>
      <c r="F364" s="11" t="str">
        <f aca="false">IF($D364="","",$D364*$E364)</f>
        <v/>
      </c>
      <c r="G364" s="11" t="str">
        <f aca="false">IFERROR(IF($B364="","",INDEX(Inventory!$G$3:$G$253,MATCH($B364,Inventory!$A$3:$A$253,0))),"")</f>
        <v/>
      </c>
      <c r="H364" s="11" t="str">
        <f aca="false">IF($D364="","",$D364*IFERROR($G364+0,0))</f>
        <v/>
      </c>
      <c r="I364" s="11"/>
      <c r="J364" s="11"/>
      <c r="K364" s="11" t="str">
        <f aca="false">IF($F364="","",$F364-$I364-$J364)</f>
        <v/>
      </c>
      <c r="L364" s="11" t="str">
        <f aca="false">IF($K364="","",$K364-$H364)</f>
        <v/>
      </c>
      <c r="M364" s="12" t="str">
        <f aca="false">IF(OR($F364="",$F364=0),"",$L364/$F364)</f>
        <v/>
      </c>
      <c r="N364" s="14"/>
      <c r="O364" s="14"/>
      <c r="P364" s="14"/>
      <c r="Q364" s="14"/>
    </row>
    <row r="365" customFormat="false" ht="15" hidden="false" customHeight="false" outlineLevel="0" collapsed="false">
      <c r="A365" s="16"/>
      <c r="B365" s="14"/>
      <c r="C365" s="14" t="str">
        <f aca="false">IFERROR(IF($B365="","",INDEX(Inventory!$B$3:$B$253,MATCH($B365,Inventory!$A$3:$A$253,0))),"")</f>
        <v/>
      </c>
      <c r="D365" s="15"/>
      <c r="E365" s="11"/>
      <c r="F365" s="11" t="str">
        <f aca="false">IF($D365="","",$D365*$E365)</f>
        <v/>
      </c>
      <c r="G365" s="11" t="str">
        <f aca="false">IFERROR(IF($B365="","",INDEX(Inventory!$G$3:$G$253,MATCH($B365,Inventory!$A$3:$A$253,0))),"")</f>
        <v/>
      </c>
      <c r="H365" s="11" t="str">
        <f aca="false">IF($D365="","",$D365*IFERROR($G365+0,0))</f>
        <v/>
      </c>
      <c r="I365" s="11"/>
      <c r="J365" s="11"/>
      <c r="K365" s="11" t="str">
        <f aca="false">IF($F365="","",$F365-$I365-$J365)</f>
        <v/>
      </c>
      <c r="L365" s="11" t="str">
        <f aca="false">IF($K365="","",$K365-$H365)</f>
        <v/>
      </c>
      <c r="M365" s="12" t="str">
        <f aca="false">IF(OR($F365="",$F365=0),"",$L365/$F365)</f>
        <v/>
      </c>
      <c r="N365" s="14"/>
      <c r="O365" s="14"/>
      <c r="P365" s="14"/>
      <c r="Q365" s="14"/>
    </row>
    <row r="366" customFormat="false" ht="15" hidden="false" customHeight="false" outlineLevel="0" collapsed="false">
      <c r="A366" s="16"/>
      <c r="B366" s="14"/>
      <c r="C366" s="14" t="str">
        <f aca="false">IFERROR(IF($B366="","",INDEX(Inventory!$B$3:$B$253,MATCH($B366,Inventory!$A$3:$A$253,0))),"")</f>
        <v/>
      </c>
      <c r="D366" s="15"/>
      <c r="E366" s="11"/>
      <c r="F366" s="11" t="str">
        <f aca="false">IF($D366="","",$D366*$E366)</f>
        <v/>
      </c>
      <c r="G366" s="11" t="str">
        <f aca="false">IFERROR(IF($B366="","",INDEX(Inventory!$G$3:$G$253,MATCH($B366,Inventory!$A$3:$A$253,0))),"")</f>
        <v/>
      </c>
      <c r="H366" s="11" t="str">
        <f aca="false">IF($D366="","",$D366*IFERROR($G366+0,0))</f>
        <v/>
      </c>
      <c r="I366" s="11"/>
      <c r="J366" s="11"/>
      <c r="K366" s="11" t="str">
        <f aca="false">IF($F366="","",$F366-$I366-$J366)</f>
        <v/>
      </c>
      <c r="L366" s="11" t="str">
        <f aca="false">IF($K366="","",$K366-$H366)</f>
        <v/>
      </c>
      <c r="M366" s="12" t="str">
        <f aca="false">IF(OR($F366="",$F366=0),"",$L366/$F366)</f>
        <v/>
      </c>
      <c r="N366" s="14"/>
      <c r="O366" s="14"/>
      <c r="P366" s="14"/>
      <c r="Q366" s="14"/>
    </row>
    <row r="367" customFormat="false" ht="15" hidden="false" customHeight="false" outlineLevel="0" collapsed="false">
      <c r="A367" s="16"/>
      <c r="B367" s="14"/>
      <c r="C367" s="14" t="str">
        <f aca="false">IFERROR(IF($B367="","",INDEX(Inventory!$B$3:$B$253,MATCH($B367,Inventory!$A$3:$A$253,0))),"")</f>
        <v/>
      </c>
      <c r="D367" s="15"/>
      <c r="E367" s="11"/>
      <c r="F367" s="11" t="str">
        <f aca="false">IF($D367="","",$D367*$E367)</f>
        <v/>
      </c>
      <c r="G367" s="11" t="str">
        <f aca="false">IFERROR(IF($B367="","",INDEX(Inventory!$G$3:$G$253,MATCH($B367,Inventory!$A$3:$A$253,0))),"")</f>
        <v/>
      </c>
      <c r="H367" s="11" t="str">
        <f aca="false">IF($D367="","",$D367*IFERROR($G367+0,0))</f>
        <v/>
      </c>
      <c r="I367" s="11"/>
      <c r="J367" s="11"/>
      <c r="K367" s="11" t="str">
        <f aca="false">IF($F367="","",$F367-$I367-$J367)</f>
        <v/>
      </c>
      <c r="L367" s="11" t="str">
        <f aca="false">IF($K367="","",$K367-$H367)</f>
        <v/>
      </c>
      <c r="M367" s="12" t="str">
        <f aca="false">IF(OR($F367="",$F367=0),"",$L367/$F367)</f>
        <v/>
      </c>
      <c r="N367" s="14"/>
      <c r="O367" s="14"/>
      <c r="P367" s="14"/>
      <c r="Q367" s="14"/>
    </row>
    <row r="368" customFormat="false" ht="15" hidden="false" customHeight="false" outlineLevel="0" collapsed="false">
      <c r="A368" s="16"/>
      <c r="B368" s="14"/>
      <c r="C368" s="14" t="str">
        <f aca="false">IFERROR(IF($B368="","",INDEX(Inventory!$B$3:$B$253,MATCH($B368,Inventory!$A$3:$A$253,0))),"")</f>
        <v/>
      </c>
      <c r="D368" s="15"/>
      <c r="E368" s="11"/>
      <c r="F368" s="11" t="str">
        <f aca="false">IF($D368="","",$D368*$E368)</f>
        <v/>
      </c>
      <c r="G368" s="11" t="str">
        <f aca="false">IFERROR(IF($B368="","",INDEX(Inventory!$G$3:$G$253,MATCH($B368,Inventory!$A$3:$A$253,0))),"")</f>
        <v/>
      </c>
      <c r="H368" s="11" t="str">
        <f aca="false">IF($D368="","",$D368*IFERROR($G368+0,0))</f>
        <v/>
      </c>
      <c r="I368" s="11"/>
      <c r="J368" s="11"/>
      <c r="K368" s="11" t="str">
        <f aca="false">IF($F368="","",$F368-$I368-$J368)</f>
        <v/>
      </c>
      <c r="L368" s="11" t="str">
        <f aca="false">IF($K368="","",$K368-$H368)</f>
        <v/>
      </c>
      <c r="M368" s="12" t="str">
        <f aca="false">IF(OR($F368="",$F368=0),"",$L368/$F368)</f>
        <v/>
      </c>
      <c r="N368" s="14"/>
      <c r="O368" s="14"/>
      <c r="P368" s="14"/>
      <c r="Q368" s="14"/>
    </row>
    <row r="369" customFormat="false" ht="15" hidden="false" customHeight="false" outlineLevel="0" collapsed="false">
      <c r="A369" s="16"/>
      <c r="B369" s="14"/>
      <c r="C369" s="14" t="str">
        <f aca="false">IFERROR(IF($B369="","",INDEX(Inventory!$B$3:$B$253,MATCH($B369,Inventory!$A$3:$A$253,0))),"")</f>
        <v/>
      </c>
      <c r="D369" s="15"/>
      <c r="E369" s="11"/>
      <c r="F369" s="11" t="str">
        <f aca="false">IF($D369="","",$D369*$E369)</f>
        <v/>
      </c>
      <c r="G369" s="11" t="str">
        <f aca="false">IFERROR(IF($B369="","",INDEX(Inventory!$G$3:$G$253,MATCH($B369,Inventory!$A$3:$A$253,0))),"")</f>
        <v/>
      </c>
      <c r="H369" s="11" t="str">
        <f aca="false">IF($D369="","",$D369*IFERROR($G369+0,0))</f>
        <v/>
      </c>
      <c r="I369" s="11"/>
      <c r="J369" s="11"/>
      <c r="K369" s="11" t="str">
        <f aca="false">IF($F369="","",$F369-$I369-$J369)</f>
        <v/>
      </c>
      <c r="L369" s="11" t="str">
        <f aca="false">IF($K369="","",$K369-$H369)</f>
        <v/>
      </c>
      <c r="M369" s="12" t="str">
        <f aca="false">IF(OR($F369="",$F369=0),"",$L369/$F369)</f>
        <v/>
      </c>
      <c r="N369" s="14"/>
      <c r="O369" s="14"/>
      <c r="P369" s="14"/>
      <c r="Q369" s="14"/>
    </row>
    <row r="370" customFormat="false" ht="15" hidden="false" customHeight="false" outlineLevel="0" collapsed="false">
      <c r="A370" s="16"/>
      <c r="B370" s="14"/>
      <c r="C370" s="14" t="str">
        <f aca="false">IFERROR(IF($B370="","",INDEX(Inventory!$B$3:$B$253,MATCH($B370,Inventory!$A$3:$A$253,0))),"")</f>
        <v/>
      </c>
      <c r="D370" s="15"/>
      <c r="E370" s="11"/>
      <c r="F370" s="11" t="str">
        <f aca="false">IF($D370="","",$D370*$E370)</f>
        <v/>
      </c>
      <c r="G370" s="11" t="str">
        <f aca="false">IFERROR(IF($B370="","",INDEX(Inventory!$G$3:$G$253,MATCH($B370,Inventory!$A$3:$A$253,0))),"")</f>
        <v/>
      </c>
      <c r="H370" s="11" t="str">
        <f aca="false">IF($D370="","",$D370*IFERROR($G370+0,0))</f>
        <v/>
      </c>
      <c r="I370" s="11"/>
      <c r="J370" s="11"/>
      <c r="K370" s="11" t="str">
        <f aca="false">IF($F370="","",$F370-$I370-$J370)</f>
        <v/>
      </c>
      <c r="L370" s="11" t="str">
        <f aca="false">IF($K370="","",$K370-$H370)</f>
        <v/>
      </c>
      <c r="M370" s="12" t="str">
        <f aca="false">IF(OR($F370="",$F370=0),"",$L370/$F370)</f>
        <v/>
      </c>
      <c r="N370" s="14"/>
      <c r="O370" s="14"/>
      <c r="P370" s="14"/>
      <c r="Q370" s="14"/>
    </row>
    <row r="371" customFormat="false" ht="15" hidden="false" customHeight="false" outlineLevel="0" collapsed="false">
      <c r="A371" s="16"/>
      <c r="B371" s="14"/>
      <c r="C371" s="14" t="str">
        <f aca="false">IFERROR(IF($B371="","",INDEX(Inventory!$B$3:$B$253,MATCH($B371,Inventory!$A$3:$A$253,0))),"")</f>
        <v/>
      </c>
      <c r="D371" s="15"/>
      <c r="E371" s="11"/>
      <c r="F371" s="11" t="str">
        <f aca="false">IF($D371="","",$D371*$E371)</f>
        <v/>
      </c>
      <c r="G371" s="11" t="str">
        <f aca="false">IFERROR(IF($B371="","",INDEX(Inventory!$G$3:$G$253,MATCH($B371,Inventory!$A$3:$A$253,0))),"")</f>
        <v/>
      </c>
      <c r="H371" s="11" t="str">
        <f aca="false">IF($D371="","",$D371*IFERROR($G371+0,0))</f>
        <v/>
      </c>
      <c r="I371" s="11"/>
      <c r="J371" s="11"/>
      <c r="K371" s="11" t="str">
        <f aca="false">IF($F371="","",$F371-$I371-$J371)</f>
        <v/>
      </c>
      <c r="L371" s="11" t="str">
        <f aca="false">IF($K371="","",$K371-$H371)</f>
        <v/>
      </c>
      <c r="M371" s="12" t="str">
        <f aca="false">IF(OR($F371="",$F371=0),"",$L371/$F371)</f>
        <v/>
      </c>
      <c r="N371" s="14"/>
      <c r="O371" s="14"/>
      <c r="P371" s="14"/>
      <c r="Q371" s="14"/>
    </row>
    <row r="372" customFormat="false" ht="15" hidden="false" customHeight="false" outlineLevel="0" collapsed="false">
      <c r="A372" s="16"/>
      <c r="B372" s="14"/>
      <c r="C372" s="14" t="str">
        <f aca="false">IFERROR(IF($B372="","",INDEX(Inventory!$B$3:$B$253,MATCH($B372,Inventory!$A$3:$A$253,0))),"")</f>
        <v/>
      </c>
      <c r="D372" s="15"/>
      <c r="E372" s="11"/>
      <c r="F372" s="11" t="str">
        <f aca="false">IF($D372="","",$D372*$E372)</f>
        <v/>
      </c>
      <c r="G372" s="11" t="str">
        <f aca="false">IFERROR(IF($B372="","",INDEX(Inventory!$G$3:$G$253,MATCH($B372,Inventory!$A$3:$A$253,0))),"")</f>
        <v/>
      </c>
      <c r="H372" s="11" t="str">
        <f aca="false">IF($D372="","",$D372*IFERROR($G372+0,0))</f>
        <v/>
      </c>
      <c r="I372" s="11"/>
      <c r="J372" s="11"/>
      <c r="K372" s="11" t="str">
        <f aca="false">IF($F372="","",$F372-$I372-$J372)</f>
        <v/>
      </c>
      <c r="L372" s="11" t="str">
        <f aca="false">IF($K372="","",$K372-$H372)</f>
        <v/>
      </c>
      <c r="M372" s="12" t="str">
        <f aca="false">IF(OR($F372="",$F372=0),"",$L372/$F372)</f>
        <v/>
      </c>
      <c r="N372" s="14"/>
      <c r="O372" s="14"/>
      <c r="P372" s="14"/>
      <c r="Q372" s="14"/>
    </row>
    <row r="373" customFormat="false" ht="15" hidden="false" customHeight="false" outlineLevel="0" collapsed="false">
      <c r="A373" s="16"/>
      <c r="B373" s="14"/>
      <c r="C373" s="14" t="str">
        <f aca="false">IFERROR(IF($B373="","",INDEX(Inventory!$B$3:$B$253,MATCH($B373,Inventory!$A$3:$A$253,0))),"")</f>
        <v/>
      </c>
      <c r="D373" s="15"/>
      <c r="E373" s="11"/>
      <c r="F373" s="11" t="str">
        <f aca="false">IF($D373="","",$D373*$E373)</f>
        <v/>
      </c>
      <c r="G373" s="11" t="str">
        <f aca="false">IFERROR(IF($B373="","",INDEX(Inventory!$G$3:$G$253,MATCH($B373,Inventory!$A$3:$A$253,0))),"")</f>
        <v/>
      </c>
      <c r="H373" s="11" t="str">
        <f aca="false">IF($D373="","",$D373*IFERROR($G373+0,0))</f>
        <v/>
      </c>
      <c r="I373" s="11"/>
      <c r="J373" s="11"/>
      <c r="K373" s="11" t="str">
        <f aca="false">IF($F373="","",$F373-$I373-$J373)</f>
        <v/>
      </c>
      <c r="L373" s="11" t="str">
        <f aca="false">IF($K373="","",$K373-$H373)</f>
        <v/>
      </c>
      <c r="M373" s="12" t="str">
        <f aca="false">IF(OR($F373="",$F373=0),"",$L373/$F373)</f>
        <v/>
      </c>
      <c r="N373" s="14"/>
      <c r="O373" s="14"/>
      <c r="P373" s="14"/>
      <c r="Q373" s="14"/>
    </row>
    <row r="374" customFormat="false" ht="15" hidden="false" customHeight="false" outlineLevel="0" collapsed="false">
      <c r="A374" s="16"/>
      <c r="B374" s="14"/>
      <c r="C374" s="14" t="str">
        <f aca="false">IFERROR(IF($B374="","",INDEX(Inventory!$B$3:$B$253,MATCH($B374,Inventory!$A$3:$A$253,0))),"")</f>
        <v/>
      </c>
      <c r="D374" s="15"/>
      <c r="E374" s="11"/>
      <c r="F374" s="11" t="str">
        <f aca="false">IF($D374="","",$D374*$E374)</f>
        <v/>
      </c>
      <c r="G374" s="11" t="str">
        <f aca="false">IFERROR(IF($B374="","",INDEX(Inventory!$G$3:$G$253,MATCH($B374,Inventory!$A$3:$A$253,0))),"")</f>
        <v/>
      </c>
      <c r="H374" s="11" t="str">
        <f aca="false">IF($D374="","",$D374*IFERROR($G374+0,0))</f>
        <v/>
      </c>
      <c r="I374" s="11"/>
      <c r="J374" s="11"/>
      <c r="K374" s="11" t="str">
        <f aca="false">IF($F374="","",$F374-$I374-$J374)</f>
        <v/>
      </c>
      <c r="L374" s="11" t="str">
        <f aca="false">IF($K374="","",$K374-$H374)</f>
        <v/>
      </c>
      <c r="M374" s="12" t="str">
        <f aca="false">IF(OR($F374="",$F374=0),"",$L374/$F374)</f>
        <v/>
      </c>
      <c r="N374" s="14"/>
      <c r="O374" s="14"/>
      <c r="P374" s="14"/>
      <c r="Q374" s="14"/>
    </row>
    <row r="375" customFormat="false" ht="15" hidden="false" customHeight="false" outlineLevel="0" collapsed="false">
      <c r="A375" s="16"/>
      <c r="B375" s="14"/>
      <c r="C375" s="14" t="str">
        <f aca="false">IFERROR(IF($B375="","",INDEX(Inventory!$B$3:$B$253,MATCH($B375,Inventory!$A$3:$A$253,0))),"")</f>
        <v/>
      </c>
      <c r="D375" s="15"/>
      <c r="E375" s="11"/>
      <c r="F375" s="11" t="str">
        <f aca="false">IF($D375="","",$D375*$E375)</f>
        <v/>
      </c>
      <c r="G375" s="11" t="str">
        <f aca="false">IFERROR(IF($B375="","",INDEX(Inventory!$G$3:$G$253,MATCH($B375,Inventory!$A$3:$A$253,0))),"")</f>
        <v/>
      </c>
      <c r="H375" s="11" t="str">
        <f aca="false">IF($D375="","",$D375*IFERROR($G375+0,0))</f>
        <v/>
      </c>
      <c r="I375" s="11"/>
      <c r="J375" s="11"/>
      <c r="K375" s="11" t="str">
        <f aca="false">IF($F375="","",$F375-$I375-$J375)</f>
        <v/>
      </c>
      <c r="L375" s="11" t="str">
        <f aca="false">IF($K375="","",$K375-$H375)</f>
        <v/>
      </c>
      <c r="M375" s="12" t="str">
        <f aca="false">IF(OR($F375="",$F375=0),"",$L375/$F375)</f>
        <v/>
      </c>
      <c r="N375" s="14"/>
      <c r="O375" s="14"/>
      <c r="P375" s="14"/>
      <c r="Q375" s="14"/>
    </row>
    <row r="376" customFormat="false" ht="15" hidden="false" customHeight="false" outlineLevel="0" collapsed="false">
      <c r="A376" s="16"/>
      <c r="B376" s="14"/>
      <c r="C376" s="14" t="str">
        <f aca="false">IFERROR(IF($B376="","",INDEX(Inventory!$B$3:$B$253,MATCH($B376,Inventory!$A$3:$A$253,0))),"")</f>
        <v/>
      </c>
      <c r="D376" s="15"/>
      <c r="E376" s="11"/>
      <c r="F376" s="11" t="str">
        <f aca="false">IF($D376="","",$D376*$E376)</f>
        <v/>
      </c>
      <c r="G376" s="11" t="str">
        <f aca="false">IFERROR(IF($B376="","",INDEX(Inventory!$G$3:$G$253,MATCH($B376,Inventory!$A$3:$A$253,0))),"")</f>
        <v/>
      </c>
      <c r="H376" s="11" t="str">
        <f aca="false">IF($D376="","",$D376*IFERROR($G376+0,0))</f>
        <v/>
      </c>
      <c r="I376" s="11"/>
      <c r="J376" s="11"/>
      <c r="K376" s="11" t="str">
        <f aca="false">IF($F376="","",$F376-$I376-$J376)</f>
        <v/>
      </c>
      <c r="L376" s="11" t="str">
        <f aca="false">IF($K376="","",$K376-$H376)</f>
        <v/>
      </c>
      <c r="M376" s="12" t="str">
        <f aca="false">IF(OR($F376="",$F376=0),"",$L376/$F376)</f>
        <v/>
      </c>
      <c r="N376" s="14"/>
      <c r="O376" s="14"/>
      <c r="P376" s="14"/>
      <c r="Q376" s="14"/>
    </row>
    <row r="377" customFormat="false" ht="15" hidden="false" customHeight="false" outlineLevel="0" collapsed="false">
      <c r="A377" s="16"/>
      <c r="B377" s="14"/>
      <c r="C377" s="14" t="str">
        <f aca="false">IFERROR(IF($B377="","",INDEX(Inventory!$B$3:$B$253,MATCH($B377,Inventory!$A$3:$A$253,0))),"")</f>
        <v/>
      </c>
      <c r="D377" s="15"/>
      <c r="E377" s="11"/>
      <c r="F377" s="11" t="str">
        <f aca="false">IF($D377="","",$D377*$E377)</f>
        <v/>
      </c>
      <c r="G377" s="11" t="str">
        <f aca="false">IFERROR(IF($B377="","",INDEX(Inventory!$G$3:$G$253,MATCH($B377,Inventory!$A$3:$A$253,0))),"")</f>
        <v/>
      </c>
      <c r="H377" s="11" t="str">
        <f aca="false">IF($D377="","",$D377*IFERROR($G377+0,0))</f>
        <v/>
      </c>
      <c r="I377" s="11"/>
      <c r="J377" s="11"/>
      <c r="K377" s="11" t="str">
        <f aca="false">IF($F377="","",$F377-$I377-$J377)</f>
        <v/>
      </c>
      <c r="L377" s="11" t="str">
        <f aca="false">IF($K377="","",$K377-$H377)</f>
        <v/>
      </c>
      <c r="M377" s="12" t="str">
        <f aca="false">IF(OR($F377="",$F377=0),"",$L377/$F377)</f>
        <v/>
      </c>
      <c r="N377" s="14"/>
      <c r="O377" s="14"/>
      <c r="P377" s="14"/>
      <c r="Q377" s="14"/>
    </row>
    <row r="378" customFormat="false" ht="15" hidden="false" customHeight="false" outlineLevel="0" collapsed="false">
      <c r="A378" s="16"/>
      <c r="B378" s="14"/>
      <c r="C378" s="14" t="str">
        <f aca="false">IFERROR(IF($B378="","",INDEX(Inventory!$B$3:$B$253,MATCH($B378,Inventory!$A$3:$A$253,0))),"")</f>
        <v/>
      </c>
      <c r="D378" s="15"/>
      <c r="E378" s="11"/>
      <c r="F378" s="11" t="str">
        <f aca="false">IF($D378="","",$D378*$E378)</f>
        <v/>
      </c>
      <c r="G378" s="11" t="str">
        <f aca="false">IFERROR(IF($B378="","",INDEX(Inventory!$G$3:$G$253,MATCH($B378,Inventory!$A$3:$A$253,0))),"")</f>
        <v/>
      </c>
      <c r="H378" s="11" t="str">
        <f aca="false">IF($D378="","",$D378*IFERROR($G378+0,0))</f>
        <v/>
      </c>
      <c r="I378" s="11"/>
      <c r="J378" s="11"/>
      <c r="K378" s="11" t="str">
        <f aca="false">IF($F378="","",$F378-$I378-$J378)</f>
        <v/>
      </c>
      <c r="L378" s="11" t="str">
        <f aca="false">IF($K378="","",$K378-$H378)</f>
        <v/>
      </c>
      <c r="M378" s="12" t="str">
        <f aca="false">IF(OR($F378="",$F378=0),"",$L378/$F378)</f>
        <v/>
      </c>
      <c r="N378" s="14"/>
      <c r="O378" s="14"/>
      <c r="P378" s="14"/>
      <c r="Q378" s="14"/>
    </row>
    <row r="379" customFormat="false" ht="15" hidden="false" customHeight="false" outlineLevel="0" collapsed="false">
      <c r="A379" s="16"/>
      <c r="B379" s="14"/>
      <c r="C379" s="14" t="str">
        <f aca="false">IFERROR(IF($B379="","",INDEX(Inventory!$B$3:$B$253,MATCH($B379,Inventory!$A$3:$A$253,0))),"")</f>
        <v/>
      </c>
      <c r="D379" s="15"/>
      <c r="E379" s="11"/>
      <c r="F379" s="11" t="str">
        <f aca="false">IF($D379="","",$D379*$E379)</f>
        <v/>
      </c>
      <c r="G379" s="11" t="str">
        <f aca="false">IFERROR(IF($B379="","",INDEX(Inventory!$G$3:$G$253,MATCH($B379,Inventory!$A$3:$A$253,0))),"")</f>
        <v/>
      </c>
      <c r="H379" s="11" t="str">
        <f aca="false">IF($D379="","",$D379*IFERROR($G379+0,0))</f>
        <v/>
      </c>
      <c r="I379" s="11"/>
      <c r="J379" s="11"/>
      <c r="K379" s="11" t="str">
        <f aca="false">IF($F379="","",$F379-$I379-$J379)</f>
        <v/>
      </c>
      <c r="L379" s="11" t="str">
        <f aca="false">IF($K379="","",$K379-$H379)</f>
        <v/>
      </c>
      <c r="M379" s="12" t="str">
        <f aca="false">IF(OR($F379="",$F379=0),"",$L379/$F379)</f>
        <v/>
      </c>
      <c r="N379" s="14"/>
      <c r="O379" s="14"/>
      <c r="P379" s="14"/>
      <c r="Q379" s="14"/>
    </row>
    <row r="380" customFormat="false" ht="15" hidden="false" customHeight="false" outlineLevel="0" collapsed="false">
      <c r="A380" s="16"/>
      <c r="B380" s="14"/>
      <c r="C380" s="14" t="str">
        <f aca="false">IFERROR(IF($B380="","",INDEX(Inventory!$B$3:$B$253,MATCH($B380,Inventory!$A$3:$A$253,0))),"")</f>
        <v/>
      </c>
      <c r="D380" s="15"/>
      <c r="E380" s="11"/>
      <c r="F380" s="11" t="str">
        <f aca="false">IF($D380="","",$D380*$E380)</f>
        <v/>
      </c>
      <c r="G380" s="11" t="str">
        <f aca="false">IFERROR(IF($B380="","",INDEX(Inventory!$G$3:$G$253,MATCH($B380,Inventory!$A$3:$A$253,0))),"")</f>
        <v/>
      </c>
      <c r="H380" s="11" t="str">
        <f aca="false">IF($D380="","",$D380*IFERROR($G380+0,0))</f>
        <v/>
      </c>
      <c r="I380" s="11"/>
      <c r="J380" s="11"/>
      <c r="K380" s="11" t="str">
        <f aca="false">IF($F380="","",$F380-$I380-$J380)</f>
        <v/>
      </c>
      <c r="L380" s="11" t="str">
        <f aca="false">IF($K380="","",$K380-$H380)</f>
        <v/>
      </c>
      <c r="M380" s="12" t="str">
        <f aca="false">IF(OR($F380="",$F380=0),"",$L380/$F380)</f>
        <v/>
      </c>
      <c r="N380" s="14"/>
      <c r="O380" s="14"/>
      <c r="P380" s="14"/>
      <c r="Q380" s="14"/>
    </row>
    <row r="381" customFormat="false" ht="15" hidden="false" customHeight="false" outlineLevel="0" collapsed="false">
      <c r="A381" s="16"/>
      <c r="B381" s="14"/>
      <c r="C381" s="14" t="str">
        <f aca="false">IFERROR(IF($B381="","",INDEX(Inventory!$B$3:$B$253,MATCH($B381,Inventory!$A$3:$A$253,0))),"")</f>
        <v/>
      </c>
      <c r="D381" s="15"/>
      <c r="E381" s="11"/>
      <c r="F381" s="11" t="str">
        <f aca="false">IF($D381="","",$D381*$E381)</f>
        <v/>
      </c>
      <c r="G381" s="11" t="str">
        <f aca="false">IFERROR(IF($B381="","",INDEX(Inventory!$G$3:$G$253,MATCH($B381,Inventory!$A$3:$A$253,0))),"")</f>
        <v/>
      </c>
      <c r="H381" s="11" t="str">
        <f aca="false">IF($D381="","",$D381*IFERROR($G381+0,0))</f>
        <v/>
      </c>
      <c r="I381" s="11"/>
      <c r="J381" s="11"/>
      <c r="K381" s="11" t="str">
        <f aca="false">IF($F381="","",$F381-$I381-$J381)</f>
        <v/>
      </c>
      <c r="L381" s="11" t="str">
        <f aca="false">IF($K381="","",$K381-$H381)</f>
        <v/>
      </c>
      <c r="M381" s="12" t="str">
        <f aca="false">IF(OR($F381="",$F381=0),"",$L381/$F381)</f>
        <v/>
      </c>
      <c r="N381" s="14"/>
      <c r="O381" s="14"/>
      <c r="P381" s="14"/>
      <c r="Q381" s="14"/>
    </row>
    <row r="382" customFormat="false" ht="15" hidden="false" customHeight="false" outlineLevel="0" collapsed="false">
      <c r="A382" s="16"/>
      <c r="B382" s="14"/>
      <c r="C382" s="14" t="str">
        <f aca="false">IFERROR(IF($B382="","",INDEX(Inventory!$B$3:$B$253,MATCH($B382,Inventory!$A$3:$A$253,0))),"")</f>
        <v/>
      </c>
      <c r="D382" s="15"/>
      <c r="E382" s="11"/>
      <c r="F382" s="11" t="str">
        <f aca="false">IF($D382="","",$D382*$E382)</f>
        <v/>
      </c>
      <c r="G382" s="11" t="str">
        <f aca="false">IFERROR(IF($B382="","",INDEX(Inventory!$G$3:$G$253,MATCH($B382,Inventory!$A$3:$A$253,0))),"")</f>
        <v/>
      </c>
      <c r="H382" s="11" t="str">
        <f aca="false">IF($D382="","",$D382*IFERROR($G382+0,0))</f>
        <v/>
      </c>
      <c r="I382" s="11"/>
      <c r="J382" s="11"/>
      <c r="K382" s="11" t="str">
        <f aca="false">IF($F382="","",$F382-$I382-$J382)</f>
        <v/>
      </c>
      <c r="L382" s="11" t="str">
        <f aca="false">IF($K382="","",$K382-$H382)</f>
        <v/>
      </c>
      <c r="M382" s="12" t="str">
        <f aca="false">IF(OR($F382="",$F382=0),"",$L382/$F382)</f>
        <v/>
      </c>
      <c r="N382" s="14"/>
      <c r="O382" s="14"/>
      <c r="P382" s="14"/>
      <c r="Q382" s="14"/>
    </row>
    <row r="383" customFormat="false" ht="15" hidden="false" customHeight="false" outlineLevel="0" collapsed="false">
      <c r="A383" s="16"/>
      <c r="B383" s="14"/>
      <c r="C383" s="14" t="str">
        <f aca="false">IFERROR(IF($B383="","",INDEX(Inventory!$B$3:$B$253,MATCH($B383,Inventory!$A$3:$A$253,0))),"")</f>
        <v/>
      </c>
      <c r="D383" s="15"/>
      <c r="E383" s="11"/>
      <c r="F383" s="11" t="str">
        <f aca="false">IF($D383="","",$D383*$E383)</f>
        <v/>
      </c>
      <c r="G383" s="11" t="str">
        <f aca="false">IFERROR(IF($B383="","",INDEX(Inventory!$G$3:$G$253,MATCH($B383,Inventory!$A$3:$A$253,0))),"")</f>
        <v/>
      </c>
      <c r="H383" s="11" t="str">
        <f aca="false">IF($D383="","",$D383*IFERROR($G383+0,0))</f>
        <v/>
      </c>
      <c r="I383" s="11"/>
      <c r="J383" s="11"/>
      <c r="K383" s="11" t="str">
        <f aca="false">IF($F383="","",$F383-$I383-$J383)</f>
        <v/>
      </c>
      <c r="L383" s="11" t="str">
        <f aca="false">IF($K383="","",$K383-$H383)</f>
        <v/>
      </c>
      <c r="M383" s="12" t="str">
        <f aca="false">IF(OR($F383="",$F383=0),"",$L383/$F383)</f>
        <v/>
      </c>
      <c r="N383" s="14"/>
      <c r="O383" s="14"/>
      <c r="P383" s="14"/>
      <c r="Q383" s="14"/>
    </row>
    <row r="384" customFormat="false" ht="15" hidden="false" customHeight="false" outlineLevel="0" collapsed="false">
      <c r="A384" s="16"/>
      <c r="B384" s="14"/>
      <c r="C384" s="14" t="str">
        <f aca="false">IFERROR(IF($B384="","",INDEX(Inventory!$B$3:$B$253,MATCH($B384,Inventory!$A$3:$A$253,0))),"")</f>
        <v/>
      </c>
      <c r="D384" s="15"/>
      <c r="E384" s="11"/>
      <c r="F384" s="11" t="str">
        <f aca="false">IF($D384="","",$D384*$E384)</f>
        <v/>
      </c>
      <c r="G384" s="11" t="str">
        <f aca="false">IFERROR(IF($B384="","",INDEX(Inventory!$G$3:$G$253,MATCH($B384,Inventory!$A$3:$A$253,0))),"")</f>
        <v/>
      </c>
      <c r="H384" s="11" t="str">
        <f aca="false">IF($D384="","",$D384*IFERROR($G384+0,0))</f>
        <v/>
      </c>
      <c r="I384" s="11"/>
      <c r="J384" s="11"/>
      <c r="K384" s="11" t="str">
        <f aca="false">IF($F384="","",$F384-$I384-$J384)</f>
        <v/>
      </c>
      <c r="L384" s="11" t="str">
        <f aca="false">IF($K384="","",$K384-$H384)</f>
        <v/>
      </c>
      <c r="M384" s="12" t="str">
        <f aca="false">IF(OR($F384="",$F384=0),"",$L384/$F384)</f>
        <v/>
      </c>
      <c r="N384" s="14"/>
      <c r="O384" s="14"/>
      <c r="P384" s="14"/>
      <c r="Q384" s="14"/>
    </row>
    <row r="385" customFormat="false" ht="15" hidden="false" customHeight="false" outlineLevel="0" collapsed="false">
      <c r="A385" s="16"/>
      <c r="B385" s="14"/>
      <c r="C385" s="14" t="str">
        <f aca="false">IFERROR(IF($B385="","",INDEX(Inventory!$B$3:$B$253,MATCH($B385,Inventory!$A$3:$A$253,0))),"")</f>
        <v/>
      </c>
      <c r="D385" s="15"/>
      <c r="E385" s="11"/>
      <c r="F385" s="11" t="str">
        <f aca="false">IF($D385="","",$D385*$E385)</f>
        <v/>
      </c>
      <c r="G385" s="11" t="str">
        <f aca="false">IFERROR(IF($B385="","",INDEX(Inventory!$G$3:$G$253,MATCH($B385,Inventory!$A$3:$A$253,0))),"")</f>
        <v/>
      </c>
      <c r="H385" s="11" t="str">
        <f aca="false">IF($D385="","",$D385*IFERROR($G385+0,0))</f>
        <v/>
      </c>
      <c r="I385" s="11"/>
      <c r="J385" s="11"/>
      <c r="K385" s="11" t="str">
        <f aca="false">IF($F385="","",$F385-$I385-$J385)</f>
        <v/>
      </c>
      <c r="L385" s="11" t="str">
        <f aca="false">IF($K385="","",$K385-$H385)</f>
        <v/>
      </c>
      <c r="M385" s="12" t="str">
        <f aca="false">IF(OR($F385="",$F385=0),"",$L385/$F385)</f>
        <v/>
      </c>
      <c r="N385" s="14"/>
      <c r="O385" s="14"/>
      <c r="P385" s="14"/>
      <c r="Q385" s="14"/>
    </row>
    <row r="386" customFormat="false" ht="15" hidden="false" customHeight="false" outlineLevel="0" collapsed="false">
      <c r="A386" s="16"/>
      <c r="B386" s="14"/>
      <c r="C386" s="14" t="str">
        <f aca="false">IFERROR(IF($B386="","",INDEX(Inventory!$B$3:$B$253,MATCH($B386,Inventory!$A$3:$A$253,0))),"")</f>
        <v/>
      </c>
      <c r="D386" s="15"/>
      <c r="E386" s="11"/>
      <c r="F386" s="11" t="str">
        <f aca="false">IF($D386="","",$D386*$E386)</f>
        <v/>
      </c>
      <c r="G386" s="11" t="str">
        <f aca="false">IFERROR(IF($B386="","",INDEX(Inventory!$G$3:$G$253,MATCH($B386,Inventory!$A$3:$A$253,0))),"")</f>
        <v/>
      </c>
      <c r="H386" s="11" t="str">
        <f aca="false">IF($D386="","",$D386*IFERROR($G386+0,0))</f>
        <v/>
      </c>
      <c r="I386" s="11"/>
      <c r="J386" s="11"/>
      <c r="K386" s="11" t="str">
        <f aca="false">IF($F386="","",$F386-$I386-$J386)</f>
        <v/>
      </c>
      <c r="L386" s="11" t="str">
        <f aca="false">IF($K386="","",$K386-$H386)</f>
        <v/>
      </c>
      <c r="M386" s="12" t="str">
        <f aca="false">IF(OR($F386="",$F386=0),"",$L386/$F386)</f>
        <v/>
      </c>
      <c r="N386" s="14"/>
      <c r="O386" s="14"/>
      <c r="P386" s="14"/>
      <c r="Q386" s="14"/>
    </row>
    <row r="387" customFormat="false" ht="15" hidden="false" customHeight="false" outlineLevel="0" collapsed="false">
      <c r="A387" s="16"/>
      <c r="B387" s="14"/>
      <c r="C387" s="14" t="str">
        <f aca="false">IFERROR(IF($B387="","",INDEX(Inventory!$B$3:$B$253,MATCH($B387,Inventory!$A$3:$A$253,0))),"")</f>
        <v/>
      </c>
      <c r="D387" s="15"/>
      <c r="E387" s="11"/>
      <c r="F387" s="11" t="str">
        <f aca="false">IF($D387="","",$D387*$E387)</f>
        <v/>
      </c>
      <c r="G387" s="11" t="str">
        <f aca="false">IFERROR(IF($B387="","",INDEX(Inventory!$G$3:$G$253,MATCH($B387,Inventory!$A$3:$A$253,0))),"")</f>
        <v/>
      </c>
      <c r="H387" s="11" t="str">
        <f aca="false">IF($D387="","",$D387*IFERROR($G387+0,0))</f>
        <v/>
      </c>
      <c r="I387" s="11"/>
      <c r="J387" s="11"/>
      <c r="K387" s="11" t="str">
        <f aca="false">IF($F387="","",$F387-$I387-$J387)</f>
        <v/>
      </c>
      <c r="L387" s="11" t="str">
        <f aca="false">IF($K387="","",$K387-$H387)</f>
        <v/>
      </c>
      <c r="M387" s="12" t="str">
        <f aca="false">IF(OR($F387="",$F387=0),"",$L387/$F387)</f>
        <v/>
      </c>
      <c r="N387" s="14"/>
      <c r="O387" s="14"/>
      <c r="P387" s="14"/>
      <c r="Q387" s="14"/>
    </row>
    <row r="388" customFormat="false" ht="15" hidden="false" customHeight="false" outlineLevel="0" collapsed="false">
      <c r="A388" s="16"/>
      <c r="B388" s="14"/>
      <c r="C388" s="14" t="str">
        <f aca="false">IFERROR(IF($B388="","",INDEX(Inventory!$B$3:$B$253,MATCH($B388,Inventory!$A$3:$A$253,0))),"")</f>
        <v/>
      </c>
      <c r="D388" s="15"/>
      <c r="E388" s="11"/>
      <c r="F388" s="11" t="str">
        <f aca="false">IF($D388="","",$D388*$E388)</f>
        <v/>
      </c>
      <c r="G388" s="11" t="str">
        <f aca="false">IFERROR(IF($B388="","",INDEX(Inventory!$G$3:$G$253,MATCH($B388,Inventory!$A$3:$A$253,0))),"")</f>
        <v/>
      </c>
      <c r="H388" s="11" t="str">
        <f aca="false">IF($D388="","",$D388*IFERROR($G388+0,0))</f>
        <v/>
      </c>
      <c r="I388" s="11"/>
      <c r="J388" s="11"/>
      <c r="K388" s="11" t="str">
        <f aca="false">IF($F388="","",$F388-$I388-$J388)</f>
        <v/>
      </c>
      <c r="L388" s="11" t="str">
        <f aca="false">IF($K388="","",$K388-$H388)</f>
        <v/>
      </c>
      <c r="M388" s="12" t="str">
        <f aca="false">IF(OR($F388="",$F388=0),"",$L388/$F388)</f>
        <v/>
      </c>
      <c r="N388" s="14"/>
      <c r="O388" s="14"/>
      <c r="P388" s="14"/>
      <c r="Q388" s="14"/>
    </row>
    <row r="389" customFormat="false" ht="15" hidden="false" customHeight="false" outlineLevel="0" collapsed="false">
      <c r="A389" s="16"/>
      <c r="B389" s="14"/>
      <c r="C389" s="14" t="str">
        <f aca="false">IFERROR(IF($B389="","",INDEX(Inventory!$B$3:$B$253,MATCH($B389,Inventory!$A$3:$A$253,0))),"")</f>
        <v/>
      </c>
      <c r="D389" s="15"/>
      <c r="E389" s="11"/>
      <c r="F389" s="11" t="str">
        <f aca="false">IF($D389="","",$D389*$E389)</f>
        <v/>
      </c>
      <c r="G389" s="11" t="str">
        <f aca="false">IFERROR(IF($B389="","",INDEX(Inventory!$G$3:$G$253,MATCH($B389,Inventory!$A$3:$A$253,0))),"")</f>
        <v/>
      </c>
      <c r="H389" s="11" t="str">
        <f aca="false">IF($D389="","",$D389*IFERROR($G389+0,0))</f>
        <v/>
      </c>
      <c r="I389" s="11"/>
      <c r="J389" s="11"/>
      <c r="K389" s="11" t="str">
        <f aca="false">IF($F389="","",$F389-$I389-$J389)</f>
        <v/>
      </c>
      <c r="L389" s="11" t="str">
        <f aca="false">IF($K389="","",$K389-$H389)</f>
        <v/>
      </c>
      <c r="M389" s="12" t="str">
        <f aca="false">IF(OR($F389="",$F389=0),"",$L389/$F389)</f>
        <v/>
      </c>
      <c r="N389" s="14"/>
      <c r="O389" s="14"/>
      <c r="P389" s="14"/>
      <c r="Q389" s="14"/>
    </row>
    <row r="390" customFormat="false" ht="15" hidden="false" customHeight="false" outlineLevel="0" collapsed="false">
      <c r="A390" s="16"/>
      <c r="B390" s="14"/>
      <c r="C390" s="14" t="str">
        <f aca="false">IFERROR(IF($B390="","",INDEX(Inventory!$B$3:$B$253,MATCH($B390,Inventory!$A$3:$A$253,0))),"")</f>
        <v/>
      </c>
      <c r="D390" s="15"/>
      <c r="E390" s="11"/>
      <c r="F390" s="11" t="str">
        <f aca="false">IF($D390="","",$D390*$E390)</f>
        <v/>
      </c>
      <c r="G390" s="11" t="str">
        <f aca="false">IFERROR(IF($B390="","",INDEX(Inventory!$G$3:$G$253,MATCH($B390,Inventory!$A$3:$A$253,0))),"")</f>
        <v/>
      </c>
      <c r="H390" s="11" t="str">
        <f aca="false">IF($D390="","",$D390*IFERROR($G390+0,0))</f>
        <v/>
      </c>
      <c r="I390" s="11"/>
      <c r="J390" s="11"/>
      <c r="K390" s="11" t="str">
        <f aca="false">IF($F390="","",$F390-$I390-$J390)</f>
        <v/>
      </c>
      <c r="L390" s="11" t="str">
        <f aca="false">IF($K390="","",$K390-$H390)</f>
        <v/>
      </c>
      <c r="M390" s="12" t="str">
        <f aca="false">IF(OR($F390="",$F390=0),"",$L390/$F390)</f>
        <v/>
      </c>
      <c r="N390" s="14"/>
      <c r="O390" s="14"/>
      <c r="P390" s="14"/>
      <c r="Q390" s="14"/>
    </row>
    <row r="391" customFormat="false" ht="15" hidden="false" customHeight="false" outlineLevel="0" collapsed="false">
      <c r="A391" s="16"/>
      <c r="B391" s="14"/>
      <c r="C391" s="14" t="str">
        <f aca="false">IFERROR(IF($B391="","",INDEX(Inventory!$B$3:$B$253,MATCH($B391,Inventory!$A$3:$A$253,0))),"")</f>
        <v/>
      </c>
      <c r="D391" s="15"/>
      <c r="E391" s="11"/>
      <c r="F391" s="11" t="str">
        <f aca="false">IF($D391="","",$D391*$E391)</f>
        <v/>
      </c>
      <c r="G391" s="11" t="str">
        <f aca="false">IFERROR(IF($B391="","",INDEX(Inventory!$G$3:$G$253,MATCH($B391,Inventory!$A$3:$A$253,0))),"")</f>
        <v/>
      </c>
      <c r="H391" s="11" t="str">
        <f aca="false">IF($D391="","",$D391*IFERROR($G391+0,0))</f>
        <v/>
      </c>
      <c r="I391" s="11"/>
      <c r="J391" s="11"/>
      <c r="K391" s="11" t="str">
        <f aca="false">IF($F391="","",$F391-$I391-$J391)</f>
        <v/>
      </c>
      <c r="L391" s="11" t="str">
        <f aca="false">IF($K391="","",$K391-$H391)</f>
        <v/>
      </c>
      <c r="M391" s="12" t="str">
        <f aca="false">IF(OR($F391="",$F391=0),"",$L391/$F391)</f>
        <v/>
      </c>
      <c r="N391" s="14"/>
      <c r="O391" s="14"/>
      <c r="P391" s="14"/>
      <c r="Q391" s="14"/>
    </row>
    <row r="392" customFormat="false" ht="15" hidden="false" customHeight="false" outlineLevel="0" collapsed="false">
      <c r="A392" s="16"/>
      <c r="B392" s="14"/>
      <c r="C392" s="14" t="str">
        <f aca="false">IFERROR(IF($B392="","",INDEX(Inventory!$B$3:$B$253,MATCH($B392,Inventory!$A$3:$A$253,0))),"")</f>
        <v/>
      </c>
      <c r="D392" s="15"/>
      <c r="E392" s="11"/>
      <c r="F392" s="11" t="str">
        <f aca="false">IF($D392="","",$D392*$E392)</f>
        <v/>
      </c>
      <c r="G392" s="11" t="str">
        <f aca="false">IFERROR(IF($B392="","",INDEX(Inventory!$G$3:$G$253,MATCH($B392,Inventory!$A$3:$A$253,0))),"")</f>
        <v/>
      </c>
      <c r="H392" s="11" t="str">
        <f aca="false">IF($D392="","",$D392*IFERROR($G392+0,0))</f>
        <v/>
      </c>
      <c r="I392" s="11"/>
      <c r="J392" s="11"/>
      <c r="K392" s="11" t="str">
        <f aca="false">IF($F392="","",$F392-$I392-$J392)</f>
        <v/>
      </c>
      <c r="L392" s="11" t="str">
        <f aca="false">IF($K392="","",$K392-$H392)</f>
        <v/>
      </c>
      <c r="M392" s="12" t="str">
        <f aca="false">IF(OR($F392="",$F392=0),"",$L392/$F392)</f>
        <v/>
      </c>
      <c r="N392" s="14"/>
      <c r="O392" s="14"/>
      <c r="P392" s="14"/>
      <c r="Q392" s="14"/>
    </row>
    <row r="393" customFormat="false" ht="15" hidden="false" customHeight="false" outlineLevel="0" collapsed="false">
      <c r="A393" s="16"/>
      <c r="B393" s="14"/>
      <c r="C393" s="14" t="str">
        <f aca="false">IFERROR(IF($B393="","",INDEX(Inventory!$B$3:$B$253,MATCH($B393,Inventory!$A$3:$A$253,0))),"")</f>
        <v/>
      </c>
      <c r="D393" s="15"/>
      <c r="E393" s="11"/>
      <c r="F393" s="11" t="str">
        <f aca="false">IF($D393="","",$D393*$E393)</f>
        <v/>
      </c>
      <c r="G393" s="11" t="str">
        <f aca="false">IFERROR(IF($B393="","",INDEX(Inventory!$G$3:$G$253,MATCH($B393,Inventory!$A$3:$A$253,0))),"")</f>
        <v/>
      </c>
      <c r="H393" s="11" t="str">
        <f aca="false">IF($D393="","",$D393*IFERROR($G393+0,0))</f>
        <v/>
      </c>
      <c r="I393" s="11"/>
      <c r="J393" s="11"/>
      <c r="K393" s="11" t="str">
        <f aca="false">IF($F393="","",$F393-$I393-$J393)</f>
        <v/>
      </c>
      <c r="L393" s="11" t="str">
        <f aca="false">IF($K393="","",$K393-$H393)</f>
        <v/>
      </c>
      <c r="M393" s="12" t="str">
        <f aca="false">IF(OR($F393="",$F393=0),"",$L393/$F393)</f>
        <v/>
      </c>
      <c r="N393" s="14"/>
      <c r="O393" s="14"/>
      <c r="P393" s="14"/>
      <c r="Q393" s="14"/>
    </row>
    <row r="394" customFormat="false" ht="15" hidden="false" customHeight="false" outlineLevel="0" collapsed="false">
      <c r="A394" s="16"/>
      <c r="B394" s="14"/>
      <c r="C394" s="14" t="str">
        <f aca="false">IFERROR(IF($B394="","",INDEX(Inventory!$B$3:$B$253,MATCH($B394,Inventory!$A$3:$A$253,0))),"")</f>
        <v/>
      </c>
      <c r="D394" s="15"/>
      <c r="E394" s="11"/>
      <c r="F394" s="11" t="str">
        <f aca="false">IF($D394="","",$D394*$E394)</f>
        <v/>
      </c>
      <c r="G394" s="11" t="str">
        <f aca="false">IFERROR(IF($B394="","",INDEX(Inventory!$G$3:$G$253,MATCH($B394,Inventory!$A$3:$A$253,0))),"")</f>
        <v/>
      </c>
      <c r="H394" s="11" t="str">
        <f aca="false">IF($D394="","",$D394*IFERROR($G394+0,0))</f>
        <v/>
      </c>
      <c r="I394" s="11"/>
      <c r="J394" s="11"/>
      <c r="K394" s="11" t="str">
        <f aca="false">IF($F394="","",$F394-$I394-$J394)</f>
        <v/>
      </c>
      <c r="L394" s="11" t="str">
        <f aca="false">IF($K394="","",$K394-$H394)</f>
        <v/>
      </c>
      <c r="M394" s="12" t="str">
        <f aca="false">IF(OR($F394="",$F394=0),"",$L394/$F394)</f>
        <v/>
      </c>
      <c r="N394" s="14"/>
      <c r="O394" s="14"/>
      <c r="P394" s="14"/>
      <c r="Q394" s="14"/>
    </row>
    <row r="395" customFormat="false" ht="15" hidden="false" customHeight="false" outlineLevel="0" collapsed="false">
      <c r="A395" s="16"/>
      <c r="B395" s="14"/>
      <c r="C395" s="14" t="str">
        <f aca="false">IFERROR(IF($B395="","",INDEX(Inventory!$B$3:$B$253,MATCH($B395,Inventory!$A$3:$A$253,0))),"")</f>
        <v/>
      </c>
      <c r="D395" s="15"/>
      <c r="E395" s="11"/>
      <c r="F395" s="11" t="str">
        <f aca="false">IF($D395="","",$D395*$E395)</f>
        <v/>
      </c>
      <c r="G395" s="11" t="str">
        <f aca="false">IFERROR(IF($B395="","",INDEX(Inventory!$G$3:$G$253,MATCH($B395,Inventory!$A$3:$A$253,0))),"")</f>
        <v/>
      </c>
      <c r="H395" s="11" t="str">
        <f aca="false">IF($D395="","",$D395*IFERROR($G395+0,0))</f>
        <v/>
      </c>
      <c r="I395" s="11"/>
      <c r="J395" s="11"/>
      <c r="K395" s="11" t="str">
        <f aca="false">IF($F395="","",$F395-$I395-$J395)</f>
        <v/>
      </c>
      <c r="L395" s="11" t="str">
        <f aca="false">IF($K395="","",$K395-$H395)</f>
        <v/>
      </c>
      <c r="M395" s="12" t="str">
        <f aca="false">IF(OR($F395="",$F395=0),"",$L395/$F395)</f>
        <v/>
      </c>
      <c r="N395" s="14"/>
      <c r="O395" s="14"/>
      <c r="P395" s="14"/>
      <c r="Q395" s="14"/>
    </row>
    <row r="396" customFormat="false" ht="15" hidden="false" customHeight="false" outlineLevel="0" collapsed="false">
      <c r="A396" s="16"/>
      <c r="B396" s="14"/>
      <c r="C396" s="14" t="str">
        <f aca="false">IFERROR(IF($B396="","",INDEX(Inventory!$B$3:$B$253,MATCH($B396,Inventory!$A$3:$A$253,0))),"")</f>
        <v/>
      </c>
      <c r="D396" s="15"/>
      <c r="E396" s="11"/>
      <c r="F396" s="11" t="str">
        <f aca="false">IF($D396="","",$D396*$E396)</f>
        <v/>
      </c>
      <c r="G396" s="11" t="str">
        <f aca="false">IFERROR(IF($B396="","",INDEX(Inventory!$G$3:$G$253,MATCH($B396,Inventory!$A$3:$A$253,0))),"")</f>
        <v/>
      </c>
      <c r="H396" s="11" t="str">
        <f aca="false">IF($D396="","",$D396*IFERROR($G396+0,0))</f>
        <v/>
      </c>
      <c r="I396" s="11"/>
      <c r="J396" s="11"/>
      <c r="K396" s="11" t="str">
        <f aca="false">IF($F396="","",$F396-$I396-$J396)</f>
        <v/>
      </c>
      <c r="L396" s="11" t="str">
        <f aca="false">IF($K396="","",$K396-$H396)</f>
        <v/>
      </c>
      <c r="M396" s="12" t="str">
        <f aca="false">IF(OR($F396="",$F396=0),"",$L396/$F396)</f>
        <v/>
      </c>
      <c r="N396" s="14"/>
      <c r="O396" s="14"/>
      <c r="P396" s="14"/>
      <c r="Q396" s="14"/>
    </row>
    <row r="397" customFormat="false" ht="15" hidden="false" customHeight="false" outlineLevel="0" collapsed="false">
      <c r="A397" s="16"/>
      <c r="B397" s="14"/>
      <c r="C397" s="14" t="str">
        <f aca="false">IFERROR(IF($B397="","",INDEX(Inventory!$B$3:$B$253,MATCH($B397,Inventory!$A$3:$A$253,0))),"")</f>
        <v/>
      </c>
      <c r="D397" s="15"/>
      <c r="E397" s="11"/>
      <c r="F397" s="11" t="str">
        <f aca="false">IF($D397="","",$D397*$E397)</f>
        <v/>
      </c>
      <c r="G397" s="11" t="str">
        <f aca="false">IFERROR(IF($B397="","",INDEX(Inventory!$G$3:$G$253,MATCH($B397,Inventory!$A$3:$A$253,0))),"")</f>
        <v/>
      </c>
      <c r="H397" s="11" t="str">
        <f aca="false">IF($D397="","",$D397*IFERROR($G397+0,0))</f>
        <v/>
      </c>
      <c r="I397" s="11"/>
      <c r="J397" s="11"/>
      <c r="K397" s="11" t="str">
        <f aca="false">IF($F397="","",$F397-$I397-$J397)</f>
        <v/>
      </c>
      <c r="L397" s="11" t="str">
        <f aca="false">IF($K397="","",$K397-$H397)</f>
        <v/>
      </c>
      <c r="M397" s="12" t="str">
        <f aca="false">IF(OR($F397="",$F397=0),"",$L397/$F397)</f>
        <v/>
      </c>
      <c r="N397" s="14"/>
      <c r="O397" s="14"/>
      <c r="P397" s="14"/>
      <c r="Q397" s="14"/>
    </row>
    <row r="398" customFormat="false" ht="15" hidden="false" customHeight="false" outlineLevel="0" collapsed="false">
      <c r="A398" s="16"/>
      <c r="B398" s="14"/>
      <c r="C398" s="14" t="str">
        <f aca="false">IFERROR(IF($B398="","",INDEX(Inventory!$B$3:$B$253,MATCH($B398,Inventory!$A$3:$A$253,0))),"")</f>
        <v/>
      </c>
      <c r="D398" s="15"/>
      <c r="E398" s="11"/>
      <c r="F398" s="11" t="str">
        <f aca="false">IF($D398="","",$D398*$E398)</f>
        <v/>
      </c>
      <c r="G398" s="11" t="str">
        <f aca="false">IFERROR(IF($B398="","",INDEX(Inventory!$G$3:$G$253,MATCH($B398,Inventory!$A$3:$A$253,0))),"")</f>
        <v/>
      </c>
      <c r="H398" s="11" t="str">
        <f aca="false">IF($D398="","",$D398*IFERROR($G398+0,0))</f>
        <v/>
      </c>
      <c r="I398" s="11"/>
      <c r="J398" s="11"/>
      <c r="K398" s="11" t="str">
        <f aca="false">IF($F398="","",$F398-$I398-$J398)</f>
        <v/>
      </c>
      <c r="L398" s="11" t="str">
        <f aca="false">IF($K398="","",$K398-$H398)</f>
        <v/>
      </c>
      <c r="M398" s="12" t="str">
        <f aca="false">IF(OR($F398="",$F398=0),"",$L398/$F398)</f>
        <v/>
      </c>
      <c r="N398" s="14"/>
      <c r="O398" s="14"/>
      <c r="P398" s="14"/>
      <c r="Q398" s="14"/>
    </row>
    <row r="399" customFormat="false" ht="15" hidden="false" customHeight="false" outlineLevel="0" collapsed="false">
      <c r="A399" s="16"/>
      <c r="B399" s="14"/>
      <c r="C399" s="14" t="str">
        <f aca="false">IFERROR(IF($B399="","",INDEX(Inventory!$B$3:$B$253,MATCH($B399,Inventory!$A$3:$A$253,0))),"")</f>
        <v/>
      </c>
      <c r="D399" s="15"/>
      <c r="E399" s="11"/>
      <c r="F399" s="11" t="str">
        <f aca="false">IF($D399="","",$D399*$E399)</f>
        <v/>
      </c>
      <c r="G399" s="11" t="str">
        <f aca="false">IFERROR(IF($B399="","",INDEX(Inventory!$G$3:$G$253,MATCH($B399,Inventory!$A$3:$A$253,0))),"")</f>
        <v/>
      </c>
      <c r="H399" s="11" t="str">
        <f aca="false">IF($D399="","",$D399*IFERROR($G399+0,0))</f>
        <v/>
      </c>
      <c r="I399" s="11"/>
      <c r="J399" s="11"/>
      <c r="K399" s="11" t="str">
        <f aca="false">IF($F399="","",$F399-$I399-$J399)</f>
        <v/>
      </c>
      <c r="L399" s="11" t="str">
        <f aca="false">IF($K399="","",$K399-$H399)</f>
        <v/>
      </c>
      <c r="M399" s="12" t="str">
        <f aca="false">IF(OR($F399="",$F399=0),"",$L399/$F399)</f>
        <v/>
      </c>
      <c r="N399" s="14"/>
      <c r="O399" s="14"/>
      <c r="P399" s="14"/>
      <c r="Q399" s="14"/>
    </row>
    <row r="400" customFormat="false" ht="15" hidden="false" customHeight="false" outlineLevel="0" collapsed="false">
      <c r="A400" s="16"/>
      <c r="B400" s="14"/>
      <c r="C400" s="14" t="str">
        <f aca="false">IFERROR(IF($B400="","",INDEX(Inventory!$B$3:$B$253,MATCH($B400,Inventory!$A$3:$A$253,0))),"")</f>
        <v/>
      </c>
      <c r="D400" s="15"/>
      <c r="E400" s="11"/>
      <c r="F400" s="11" t="str">
        <f aca="false">IF($D400="","",$D400*$E400)</f>
        <v/>
      </c>
      <c r="G400" s="11" t="str">
        <f aca="false">IFERROR(IF($B400="","",INDEX(Inventory!$G$3:$G$253,MATCH($B400,Inventory!$A$3:$A$253,0))),"")</f>
        <v/>
      </c>
      <c r="H400" s="11" t="str">
        <f aca="false">IF($D400="","",$D400*IFERROR($G400+0,0))</f>
        <v/>
      </c>
      <c r="I400" s="11"/>
      <c r="J400" s="11"/>
      <c r="K400" s="11" t="str">
        <f aca="false">IF($F400="","",$F400-$I400-$J400)</f>
        <v/>
      </c>
      <c r="L400" s="11" t="str">
        <f aca="false">IF($K400="","",$K400-$H400)</f>
        <v/>
      </c>
      <c r="M400" s="12" t="str">
        <f aca="false">IF(OR($F400="",$F400=0),"",$L400/$F400)</f>
        <v/>
      </c>
      <c r="N400" s="14"/>
      <c r="O400" s="14"/>
      <c r="P400" s="14"/>
      <c r="Q400" s="14"/>
    </row>
    <row r="401" customFormat="false" ht="15" hidden="false" customHeight="false" outlineLevel="0" collapsed="false">
      <c r="A401" s="16"/>
      <c r="B401" s="14"/>
      <c r="C401" s="14" t="str">
        <f aca="false">IFERROR(IF($B401="","",INDEX(Inventory!$B$3:$B$253,MATCH($B401,Inventory!$A$3:$A$253,0))),"")</f>
        <v/>
      </c>
      <c r="D401" s="15"/>
      <c r="E401" s="11"/>
      <c r="F401" s="11" t="str">
        <f aca="false">IF($D401="","",$D401*$E401)</f>
        <v/>
      </c>
      <c r="G401" s="11" t="str">
        <f aca="false">IFERROR(IF($B401="","",INDEX(Inventory!$G$3:$G$253,MATCH($B401,Inventory!$A$3:$A$253,0))),"")</f>
        <v/>
      </c>
      <c r="H401" s="11" t="str">
        <f aca="false">IF($D401="","",$D401*IFERROR($G401+0,0))</f>
        <v/>
      </c>
      <c r="I401" s="11"/>
      <c r="J401" s="11"/>
      <c r="K401" s="11" t="str">
        <f aca="false">IF($F401="","",$F401-$I401-$J401)</f>
        <v/>
      </c>
      <c r="L401" s="11" t="str">
        <f aca="false">IF($K401="","",$K401-$H401)</f>
        <v/>
      </c>
      <c r="M401" s="12" t="str">
        <f aca="false">IF(OR($F401="",$F401=0),"",$L401/$F401)</f>
        <v/>
      </c>
      <c r="N401" s="14"/>
      <c r="O401" s="14"/>
      <c r="P401" s="14"/>
      <c r="Q401" s="14"/>
    </row>
    <row r="402" customFormat="false" ht="15" hidden="false" customHeight="false" outlineLevel="0" collapsed="false">
      <c r="A402" s="16"/>
      <c r="B402" s="14"/>
      <c r="C402" s="14" t="str">
        <f aca="false">IFERROR(IF($B402="","",INDEX(Inventory!$B$3:$B$253,MATCH($B402,Inventory!$A$3:$A$253,0))),"")</f>
        <v/>
      </c>
      <c r="D402" s="15"/>
      <c r="E402" s="11"/>
      <c r="F402" s="11" t="str">
        <f aca="false">IF($D402="","",$D402*$E402)</f>
        <v/>
      </c>
      <c r="G402" s="11" t="str">
        <f aca="false">IFERROR(IF($B402="","",INDEX(Inventory!$G$3:$G$253,MATCH($B402,Inventory!$A$3:$A$253,0))),"")</f>
        <v/>
      </c>
      <c r="H402" s="11" t="str">
        <f aca="false">IF($D402="","",$D402*IFERROR($G402+0,0))</f>
        <v/>
      </c>
      <c r="I402" s="11"/>
      <c r="J402" s="11"/>
      <c r="K402" s="11" t="str">
        <f aca="false">IF($F402="","",$F402-$I402-$J402)</f>
        <v/>
      </c>
      <c r="L402" s="11" t="str">
        <f aca="false">IF($K402="","",$K402-$H402)</f>
        <v/>
      </c>
      <c r="M402" s="12" t="str">
        <f aca="false">IF(OR($F402="",$F402=0),"",$L402/$F402)</f>
        <v/>
      </c>
      <c r="N402" s="14"/>
      <c r="O402" s="14"/>
      <c r="P402" s="14"/>
      <c r="Q402" s="14"/>
    </row>
    <row r="403" customFormat="false" ht="15" hidden="false" customHeight="false" outlineLevel="0" collapsed="false">
      <c r="A403" s="16"/>
      <c r="B403" s="14"/>
      <c r="C403" s="14" t="str">
        <f aca="false">IFERROR(IF($B403="","",INDEX(Inventory!$B$3:$B$253,MATCH($B403,Inventory!$A$3:$A$253,0))),"")</f>
        <v/>
      </c>
      <c r="D403" s="15"/>
      <c r="E403" s="11"/>
      <c r="F403" s="11" t="str">
        <f aca="false">IF($D403="","",$D403*$E403)</f>
        <v/>
      </c>
      <c r="G403" s="11" t="str">
        <f aca="false">IFERROR(IF($B403="","",INDEX(Inventory!$G$3:$G$253,MATCH($B403,Inventory!$A$3:$A$253,0))),"")</f>
        <v/>
      </c>
      <c r="H403" s="11" t="str">
        <f aca="false">IF($D403="","",$D403*IFERROR($G403+0,0))</f>
        <v/>
      </c>
      <c r="I403" s="11"/>
      <c r="J403" s="11"/>
      <c r="K403" s="11" t="str">
        <f aca="false">IF($F403="","",$F403-$I403-$J403)</f>
        <v/>
      </c>
      <c r="L403" s="11" t="str">
        <f aca="false">IF($K403="","",$K403-$H403)</f>
        <v/>
      </c>
      <c r="M403" s="12" t="str">
        <f aca="false">IF(OR($F403="",$F403=0),"",$L403/$F403)</f>
        <v/>
      </c>
      <c r="N403" s="14"/>
      <c r="O403" s="14"/>
      <c r="P403" s="14"/>
      <c r="Q403" s="14"/>
    </row>
    <row r="404" customFormat="false" ht="15" hidden="false" customHeight="false" outlineLevel="0" collapsed="false">
      <c r="A404" s="16"/>
      <c r="B404" s="14"/>
      <c r="C404" s="14" t="str">
        <f aca="false">IFERROR(IF($B404="","",INDEX(Inventory!$B$3:$B$253,MATCH($B404,Inventory!$A$3:$A$253,0))),"")</f>
        <v/>
      </c>
      <c r="D404" s="15"/>
      <c r="E404" s="11"/>
      <c r="F404" s="11" t="str">
        <f aca="false">IF($D404="","",$D404*$E404)</f>
        <v/>
      </c>
      <c r="G404" s="11" t="str">
        <f aca="false">IFERROR(IF($B404="","",INDEX(Inventory!$G$3:$G$253,MATCH($B404,Inventory!$A$3:$A$253,0))),"")</f>
        <v/>
      </c>
      <c r="H404" s="11" t="str">
        <f aca="false">IF($D404="","",$D404*IFERROR($G404+0,0))</f>
        <v/>
      </c>
      <c r="I404" s="11"/>
      <c r="J404" s="11"/>
      <c r="K404" s="11" t="str">
        <f aca="false">IF($F404="","",$F404-$I404-$J404)</f>
        <v/>
      </c>
      <c r="L404" s="11" t="str">
        <f aca="false">IF($K404="","",$K404-$H404)</f>
        <v/>
      </c>
      <c r="M404" s="12" t="str">
        <f aca="false">IF(OR($F404="",$F404=0),"",$L404/$F404)</f>
        <v/>
      </c>
      <c r="N404" s="14"/>
      <c r="O404" s="14"/>
      <c r="P404" s="14"/>
      <c r="Q404" s="14"/>
    </row>
    <row r="405" customFormat="false" ht="15" hidden="false" customHeight="false" outlineLevel="0" collapsed="false">
      <c r="A405" s="16"/>
      <c r="B405" s="14"/>
      <c r="C405" s="14" t="str">
        <f aca="false">IFERROR(IF($B405="","",INDEX(Inventory!$B$3:$B$253,MATCH($B405,Inventory!$A$3:$A$253,0))),"")</f>
        <v/>
      </c>
      <c r="D405" s="15"/>
      <c r="E405" s="11"/>
      <c r="F405" s="11" t="str">
        <f aca="false">IF($D405="","",$D405*$E405)</f>
        <v/>
      </c>
      <c r="G405" s="11" t="str">
        <f aca="false">IFERROR(IF($B405="","",INDEX(Inventory!$G$3:$G$253,MATCH($B405,Inventory!$A$3:$A$253,0))),"")</f>
        <v/>
      </c>
      <c r="H405" s="11" t="str">
        <f aca="false">IF($D405="","",$D405*IFERROR($G405+0,0))</f>
        <v/>
      </c>
      <c r="I405" s="11"/>
      <c r="J405" s="11"/>
      <c r="K405" s="11" t="str">
        <f aca="false">IF($F405="","",$F405-$I405-$J405)</f>
        <v/>
      </c>
      <c r="L405" s="11" t="str">
        <f aca="false">IF($K405="","",$K405-$H405)</f>
        <v/>
      </c>
      <c r="M405" s="12" t="str">
        <f aca="false">IF(OR($F405="",$F405=0),"",$L405/$F405)</f>
        <v/>
      </c>
      <c r="N405" s="14"/>
      <c r="O405" s="14"/>
      <c r="P405" s="14"/>
      <c r="Q405" s="14"/>
    </row>
    <row r="406" customFormat="false" ht="15" hidden="false" customHeight="false" outlineLevel="0" collapsed="false">
      <c r="A406" s="16"/>
      <c r="B406" s="14"/>
      <c r="C406" s="14" t="str">
        <f aca="false">IFERROR(IF($B406="","",INDEX(Inventory!$B$3:$B$253,MATCH($B406,Inventory!$A$3:$A$253,0))),"")</f>
        <v/>
      </c>
      <c r="D406" s="15"/>
      <c r="E406" s="11"/>
      <c r="F406" s="11" t="str">
        <f aca="false">IF($D406="","",$D406*$E406)</f>
        <v/>
      </c>
      <c r="G406" s="11" t="str">
        <f aca="false">IFERROR(IF($B406="","",INDEX(Inventory!$G$3:$G$253,MATCH($B406,Inventory!$A$3:$A$253,0))),"")</f>
        <v/>
      </c>
      <c r="H406" s="11" t="str">
        <f aca="false">IF($D406="","",$D406*IFERROR($G406+0,0))</f>
        <v/>
      </c>
      <c r="I406" s="11"/>
      <c r="J406" s="11"/>
      <c r="K406" s="11" t="str">
        <f aca="false">IF($F406="","",$F406-$I406-$J406)</f>
        <v/>
      </c>
      <c r="L406" s="11" t="str">
        <f aca="false">IF($K406="","",$K406-$H406)</f>
        <v/>
      </c>
      <c r="M406" s="12" t="str">
        <f aca="false">IF(OR($F406="",$F406=0),"",$L406/$F406)</f>
        <v/>
      </c>
      <c r="N406" s="14"/>
      <c r="O406" s="14"/>
      <c r="P406" s="14"/>
      <c r="Q406" s="14"/>
    </row>
    <row r="407" customFormat="false" ht="15" hidden="false" customHeight="false" outlineLevel="0" collapsed="false">
      <c r="A407" s="16"/>
      <c r="B407" s="14"/>
      <c r="C407" s="14" t="str">
        <f aca="false">IFERROR(IF($B407="","",INDEX(Inventory!$B$3:$B$253,MATCH($B407,Inventory!$A$3:$A$253,0))),"")</f>
        <v/>
      </c>
      <c r="D407" s="15"/>
      <c r="E407" s="11"/>
      <c r="F407" s="11" t="str">
        <f aca="false">IF($D407="","",$D407*$E407)</f>
        <v/>
      </c>
      <c r="G407" s="11" t="str">
        <f aca="false">IFERROR(IF($B407="","",INDEX(Inventory!$G$3:$G$253,MATCH($B407,Inventory!$A$3:$A$253,0))),"")</f>
        <v/>
      </c>
      <c r="H407" s="11" t="str">
        <f aca="false">IF($D407="","",$D407*IFERROR($G407+0,0))</f>
        <v/>
      </c>
      <c r="I407" s="11"/>
      <c r="J407" s="11"/>
      <c r="K407" s="11" t="str">
        <f aca="false">IF($F407="","",$F407-$I407-$J407)</f>
        <v/>
      </c>
      <c r="L407" s="11" t="str">
        <f aca="false">IF($K407="","",$K407-$H407)</f>
        <v/>
      </c>
      <c r="M407" s="12" t="str">
        <f aca="false">IF(OR($F407="",$F407=0),"",$L407/$F407)</f>
        <v/>
      </c>
      <c r="N407" s="14"/>
      <c r="O407" s="14"/>
      <c r="P407" s="14"/>
      <c r="Q407" s="14"/>
    </row>
    <row r="408" customFormat="false" ht="15" hidden="false" customHeight="false" outlineLevel="0" collapsed="false">
      <c r="A408" s="16"/>
      <c r="B408" s="14"/>
      <c r="C408" s="14" t="str">
        <f aca="false">IFERROR(IF($B408="","",INDEX(Inventory!$B$3:$B$253,MATCH($B408,Inventory!$A$3:$A$253,0))),"")</f>
        <v/>
      </c>
      <c r="D408" s="15"/>
      <c r="E408" s="11"/>
      <c r="F408" s="11" t="str">
        <f aca="false">IF($D408="","",$D408*$E408)</f>
        <v/>
      </c>
      <c r="G408" s="11" t="str">
        <f aca="false">IFERROR(IF($B408="","",INDEX(Inventory!$G$3:$G$253,MATCH($B408,Inventory!$A$3:$A$253,0))),"")</f>
        <v/>
      </c>
      <c r="H408" s="11" t="str">
        <f aca="false">IF($D408="","",$D408*IFERROR($G408+0,0))</f>
        <v/>
      </c>
      <c r="I408" s="11"/>
      <c r="J408" s="11"/>
      <c r="K408" s="11" t="str">
        <f aca="false">IF($F408="","",$F408-$I408-$J408)</f>
        <v/>
      </c>
      <c r="L408" s="11" t="str">
        <f aca="false">IF($K408="","",$K408-$H408)</f>
        <v/>
      </c>
      <c r="M408" s="12" t="str">
        <f aca="false">IF(OR($F408="",$F408=0),"",$L408/$F408)</f>
        <v/>
      </c>
      <c r="N408" s="14"/>
      <c r="O408" s="14"/>
      <c r="P408" s="14"/>
      <c r="Q408" s="14"/>
    </row>
    <row r="409" customFormat="false" ht="15" hidden="false" customHeight="false" outlineLevel="0" collapsed="false">
      <c r="A409" s="16"/>
      <c r="B409" s="14"/>
      <c r="C409" s="14" t="str">
        <f aca="false">IFERROR(IF($B409="","",INDEX(Inventory!$B$3:$B$253,MATCH($B409,Inventory!$A$3:$A$253,0))),"")</f>
        <v/>
      </c>
      <c r="D409" s="15"/>
      <c r="E409" s="11"/>
      <c r="F409" s="11" t="str">
        <f aca="false">IF($D409="","",$D409*$E409)</f>
        <v/>
      </c>
      <c r="G409" s="11" t="str">
        <f aca="false">IFERROR(IF($B409="","",INDEX(Inventory!$G$3:$G$253,MATCH($B409,Inventory!$A$3:$A$253,0))),"")</f>
        <v/>
      </c>
      <c r="H409" s="11" t="str">
        <f aca="false">IF($D409="","",$D409*IFERROR($G409+0,0))</f>
        <v/>
      </c>
      <c r="I409" s="11"/>
      <c r="J409" s="11"/>
      <c r="K409" s="11" t="str">
        <f aca="false">IF($F409="","",$F409-$I409-$J409)</f>
        <v/>
      </c>
      <c r="L409" s="11" t="str">
        <f aca="false">IF($K409="","",$K409-$H409)</f>
        <v/>
      </c>
      <c r="M409" s="12" t="str">
        <f aca="false">IF(OR($F409="",$F409=0),"",$L409/$F409)</f>
        <v/>
      </c>
      <c r="N409" s="14"/>
      <c r="O409" s="14"/>
      <c r="P409" s="14"/>
      <c r="Q409" s="14"/>
    </row>
    <row r="410" customFormat="false" ht="15" hidden="false" customHeight="false" outlineLevel="0" collapsed="false">
      <c r="A410" s="16"/>
      <c r="B410" s="14"/>
      <c r="C410" s="14" t="str">
        <f aca="false">IFERROR(IF($B410="","",INDEX(Inventory!$B$3:$B$253,MATCH($B410,Inventory!$A$3:$A$253,0))),"")</f>
        <v/>
      </c>
      <c r="D410" s="15"/>
      <c r="E410" s="11"/>
      <c r="F410" s="11" t="str">
        <f aca="false">IF($D410="","",$D410*$E410)</f>
        <v/>
      </c>
      <c r="G410" s="11" t="str">
        <f aca="false">IFERROR(IF($B410="","",INDEX(Inventory!$G$3:$G$253,MATCH($B410,Inventory!$A$3:$A$253,0))),"")</f>
        <v/>
      </c>
      <c r="H410" s="11" t="str">
        <f aca="false">IF($D410="","",$D410*IFERROR($G410+0,0))</f>
        <v/>
      </c>
      <c r="I410" s="11"/>
      <c r="J410" s="11"/>
      <c r="K410" s="11" t="str">
        <f aca="false">IF($F410="","",$F410-$I410-$J410)</f>
        <v/>
      </c>
      <c r="L410" s="11" t="str">
        <f aca="false">IF($K410="","",$K410-$H410)</f>
        <v/>
      </c>
      <c r="M410" s="12" t="str">
        <f aca="false">IF(OR($F410="",$F410=0),"",$L410/$F410)</f>
        <v/>
      </c>
      <c r="N410" s="14"/>
      <c r="O410" s="14"/>
      <c r="P410" s="14"/>
      <c r="Q410" s="14"/>
    </row>
    <row r="411" customFormat="false" ht="15" hidden="false" customHeight="false" outlineLevel="0" collapsed="false">
      <c r="A411" s="16"/>
      <c r="B411" s="14"/>
      <c r="C411" s="14" t="str">
        <f aca="false">IFERROR(IF($B411="","",INDEX(Inventory!$B$3:$B$253,MATCH($B411,Inventory!$A$3:$A$253,0))),"")</f>
        <v/>
      </c>
      <c r="D411" s="15"/>
      <c r="E411" s="11"/>
      <c r="F411" s="11" t="str">
        <f aca="false">IF($D411="","",$D411*$E411)</f>
        <v/>
      </c>
      <c r="G411" s="11" t="str">
        <f aca="false">IFERROR(IF($B411="","",INDEX(Inventory!$G$3:$G$253,MATCH($B411,Inventory!$A$3:$A$253,0))),"")</f>
        <v/>
      </c>
      <c r="H411" s="11" t="str">
        <f aca="false">IF($D411="","",$D411*IFERROR($G411+0,0))</f>
        <v/>
      </c>
      <c r="I411" s="11"/>
      <c r="J411" s="11"/>
      <c r="K411" s="11" t="str">
        <f aca="false">IF($F411="","",$F411-$I411-$J411)</f>
        <v/>
      </c>
      <c r="L411" s="11" t="str">
        <f aca="false">IF($K411="","",$K411-$H411)</f>
        <v/>
      </c>
      <c r="M411" s="12" t="str">
        <f aca="false">IF(OR($F411="",$F411=0),"",$L411/$F411)</f>
        <v/>
      </c>
      <c r="N411" s="14"/>
      <c r="O411" s="14"/>
      <c r="P411" s="14"/>
      <c r="Q411" s="14"/>
    </row>
    <row r="412" customFormat="false" ht="15" hidden="false" customHeight="false" outlineLevel="0" collapsed="false">
      <c r="A412" s="16"/>
      <c r="B412" s="14"/>
      <c r="C412" s="14" t="str">
        <f aca="false">IFERROR(IF($B412="","",INDEX(Inventory!$B$3:$B$253,MATCH($B412,Inventory!$A$3:$A$253,0))),"")</f>
        <v/>
      </c>
      <c r="D412" s="15"/>
      <c r="E412" s="11"/>
      <c r="F412" s="11" t="str">
        <f aca="false">IF($D412="","",$D412*$E412)</f>
        <v/>
      </c>
      <c r="G412" s="11" t="str">
        <f aca="false">IFERROR(IF($B412="","",INDEX(Inventory!$G$3:$G$253,MATCH($B412,Inventory!$A$3:$A$253,0))),"")</f>
        <v/>
      </c>
      <c r="H412" s="11" t="str">
        <f aca="false">IF($D412="","",$D412*IFERROR($G412+0,0))</f>
        <v/>
      </c>
      <c r="I412" s="11"/>
      <c r="J412" s="11"/>
      <c r="K412" s="11" t="str">
        <f aca="false">IF($F412="","",$F412-$I412-$J412)</f>
        <v/>
      </c>
      <c r="L412" s="11" t="str">
        <f aca="false">IF($K412="","",$K412-$H412)</f>
        <v/>
      </c>
      <c r="M412" s="12" t="str">
        <f aca="false">IF(OR($F412="",$F412=0),"",$L412/$F412)</f>
        <v/>
      </c>
      <c r="N412" s="14"/>
      <c r="O412" s="14"/>
      <c r="P412" s="14"/>
      <c r="Q412" s="14"/>
    </row>
    <row r="413" customFormat="false" ht="15" hidden="false" customHeight="false" outlineLevel="0" collapsed="false">
      <c r="A413" s="16"/>
      <c r="B413" s="14"/>
      <c r="C413" s="14" t="str">
        <f aca="false">IFERROR(IF($B413="","",INDEX(Inventory!$B$3:$B$253,MATCH($B413,Inventory!$A$3:$A$253,0))),"")</f>
        <v/>
      </c>
      <c r="D413" s="15"/>
      <c r="E413" s="11"/>
      <c r="F413" s="11" t="str">
        <f aca="false">IF($D413="","",$D413*$E413)</f>
        <v/>
      </c>
      <c r="G413" s="11" t="str">
        <f aca="false">IFERROR(IF($B413="","",INDEX(Inventory!$G$3:$G$253,MATCH($B413,Inventory!$A$3:$A$253,0))),"")</f>
        <v/>
      </c>
      <c r="H413" s="11" t="str">
        <f aca="false">IF($D413="","",$D413*IFERROR($G413+0,0))</f>
        <v/>
      </c>
      <c r="I413" s="11"/>
      <c r="J413" s="11"/>
      <c r="K413" s="11" t="str">
        <f aca="false">IF($F413="","",$F413-$I413-$J413)</f>
        <v/>
      </c>
      <c r="L413" s="11" t="str">
        <f aca="false">IF($K413="","",$K413-$H413)</f>
        <v/>
      </c>
      <c r="M413" s="12" t="str">
        <f aca="false">IF(OR($F413="",$F413=0),"",$L413/$F413)</f>
        <v/>
      </c>
      <c r="N413" s="14"/>
      <c r="O413" s="14"/>
      <c r="P413" s="14"/>
      <c r="Q413" s="14"/>
    </row>
    <row r="414" customFormat="false" ht="15" hidden="false" customHeight="false" outlineLevel="0" collapsed="false">
      <c r="A414" s="16"/>
      <c r="B414" s="14"/>
      <c r="C414" s="14" t="str">
        <f aca="false">IFERROR(IF($B414="","",INDEX(Inventory!$B$3:$B$253,MATCH($B414,Inventory!$A$3:$A$253,0))),"")</f>
        <v/>
      </c>
      <c r="D414" s="15"/>
      <c r="E414" s="11"/>
      <c r="F414" s="11" t="str">
        <f aca="false">IF($D414="","",$D414*$E414)</f>
        <v/>
      </c>
      <c r="G414" s="11" t="str">
        <f aca="false">IFERROR(IF($B414="","",INDEX(Inventory!$G$3:$G$253,MATCH($B414,Inventory!$A$3:$A$253,0))),"")</f>
        <v/>
      </c>
      <c r="H414" s="11" t="str">
        <f aca="false">IF($D414="","",$D414*IFERROR($G414+0,0))</f>
        <v/>
      </c>
      <c r="I414" s="11"/>
      <c r="J414" s="11"/>
      <c r="K414" s="11" t="str">
        <f aca="false">IF($F414="","",$F414-$I414-$J414)</f>
        <v/>
      </c>
      <c r="L414" s="11" t="str">
        <f aca="false">IF($K414="","",$K414-$H414)</f>
        <v/>
      </c>
      <c r="M414" s="12" t="str">
        <f aca="false">IF(OR($F414="",$F414=0),"",$L414/$F414)</f>
        <v/>
      </c>
      <c r="N414" s="14"/>
      <c r="O414" s="14"/>
      <c r="P414" s="14"/>
      <c r="Q414" s="14"/>
    </row>
    <row r="415" customFormat="false" ht="15" hidden="false" customHeight="false" outlineLevel="0" collapsed="false">
      <c r="A415" s="16"/>
      <c r="B415" s="14"/>
      <c r="C415" s="14" t="str">
        <f aca="false">IFERROR(IF($B415="","",INDEX(Inventory!$B$3:$B$253,MATCH($B415,Inventory!$A$3:$A$253,0))),"")</f>
        <v/>
      </c>
      <c r="D415" s="15"/>
      <c r="E415" s="11"/>
      <c r="F415" s="11" t="str">
        <f aca="false">IF($D415="","",$D415*$E415)</f>
        <v/>
      </c>
      <c r="G415" s="11" t="str">
        <f aca="false">IFERROR(IF($B415="","",INDEX(Inventory!$G$3:$G$253,MATCH($B415,Inventory!$A$3:$A$253,0))),"")</f>
        <v/>
      </c>
      <c r="H415" s="11" t="str">
        <f aca="false">IF($D415="","",$D415*IFERROR($G415+0,0))</f>
        <v/>
      </c>
      <c r="I415" s="11"/>
      <c r="J415" s="11"/>
      <c r="K415" s="11" t="str">
        <f aca="false">IF($F415="","",$F415-$I415-$J415)</f>
        <v/>
      </c>
      <c r="L415" s="11" t="str">
        <f aca="false">IF($K415="","",$K415-$H415)</f>
        <v/>
      </c>
      <c r="M415" s="12" t="str">
        <f aca="false">IF(OR($F415="",$F415=0),"",$L415/$F415)</f>
        <v/>
      </c>
      <c r="N415" s="14"/>
      <c r="O415" s="14"/>
      <c r="P415" s="14"/>
      <c r="Q415" s="14"/>
    </row>
    <row r="416" customFormat="false" ht="15" hidden="false" customHeight="false" outlineLevel="0" collapsed="false">
      <c r="A416" s="16"/>
      <c r="B416" s="14"/>
      <c r="C416" s="14" t="str">
        <f aca="false">IFERROR(IF($B416="","",INDEX(Inventory!$B$3:$B$253,MATCH($B416,Inventory!$A$3:$A$253,0))),"")</f>
        <v/>
      </c>
      <c r="D416" s="15"/>
      <c r="E416" s="11"/>
      <c r="F416" s="11" t="str">
        <f aca="false">IF($D416="","",$D416*$E416)</f>
        <v/>
      </c>
      <c r="G416" s="11" t="str">
        <f aca="false">IFERROR(IF($B416="","",INDEX(Inventory!$G$3:$G$253,MATCH($B416,Inventory!$A$3:$A$253,0))),"")</f>
        <v/>
      </c>
      <c r="H416" s="11" t="str">
        <f aca="false">IF($D416="","",$D416*IFERROR($G416+0,0))</f>
        <v/>
      </c>
      <c r="I416" s="11"/>
      <c r="J416" s="11"/>
      <c r="K416" s="11" t="str">
        <f aca="false">IF($F416="","",$F416-$I416-$J416)</f>
        <v/>
      </c>
      <c r="L416" s="11" t="str">
        <f aca="false">IF($K416="","",$K416-$H416)</f>
        <v/>
      </c>
      <c r="M416" s="12" t="str">
        <f aca="false">IF(OR($F416="",$F416=0),"",$L416/$F416)</f>
        <v/>
      </c>
      <c r="N416" s="14"/>
      <c r="O416" s="14"/>
      <c r="P416" s="14"/>
      <c r="Q416" s="14"/>
    </row>
    <row r="417" customFormat="false" ht="15" hidden="false" customHeight="false" outlineLevel="0" collapsed="false">
      <c r="A417" s="16"/>
      <c r="B417" s="14"/>
      <c r="C417" s="14" t="str">
        <f aca="false">IFERROR(IF($B417="","",INDEX(Inventory!$B$3:$B$253,MATCH($B417,Inventory!$A$3:$A$253,0))),"")</f>
        <v/>
      </c>
      <c r="D417" s="15"/>
      <c r="E417" s="11"/>
      <c r="F417" s="11" t="str">
        <f aca="false">IF($D417="","",$D417*$E417)</f>
        <v/>
      </c>
      <c r="G417" s="11" t="str">
        <f aca="false">IFERROR(IF($B417="","",INDEX(Inventory!$G$3:$G$253,MATCH($B417,Inventory!$A$3:$A$253,0))),"")</f>
        <v/>
      </c>
      <c r="H417" s="11" t="str">
        <f aca="false">IF($D417="","",$D417*IFERROR($G417+0,0))</f>
        <v/>
      </c>
      <c r="I417" s="11"/>
      <c r="J417" s="11"/>
      <c r="K417" s="11" t="str">
        <f aca="false">IF($F417="","",$F417-$I417-$J417)</f>
        <v/>
      </c>
      <c r="L417" s="11" t="str">
        <f aca="false">IF($K417="","",$K417-$H417)</f>
        <v/>
      </c>
      <c r="M417" s="12" t="str">
        <f aca="false">IF(OR($F417="",$F417=0),"",$L417/$F417)</f>
        <v/>
      </c>
      <c r="N417" s="14"/>
      <c r="O417" s="14"/>
      <c r="P417" s="14"/>
      <c r="Q417" s="14"/>
    </row>
    <row r="418" customFormat="false" ht="15" hidden="false" customHeight="false" outlineLevel="0" collapsed="false">
      <c r="A418" s="16"/>
      <c r="B418" s="14"/>
      <c r="C418" s="14" t="str">
        <f aca="false">IFERROR(IF($B418="","",INDEX(Inventory!$B$3:$B$253,MATCH($B418,Inventory!$A$3:$A$253,0))),"")</f>
        <v/>
      </c>
      <c r="D418" s="15"/>
      <c r="E418" s="11"/>
      <c r="F418" s="11" t="str">
        <f aca="false">IF($D418="","",$D418*$E418)</f>
        <v/>
      </c>
      <c r="G418" s="11" t="str">
        <f aca="false">IFERROR(IF($B418="","",INDEX(Inventory!$G$3:$G$253,MATCH($B418,Inventory!$A$3:$A$253,0))),"")</f>
        <v/>
      </c>
      <c r="H418" s="11" t="str">
        <f aca="false">IF($D418="","",$D418*IFERROR($G418+0,0))</f>
        <v/>
      </c>
      <c r="I418" s="11"/>
      <c r="J418" s="11"/>
      <c r="K418" s="11" t="str">
        <f aca="false">IF($F418="","",$F418-$I418-$J418)</f>
        <v/>
      </c>
      <c r="L418" s="11" t="str">
        <f aca="false">IF($K418="","",$K418-$H418)</f>
        <v/>
      </c>
      <c r="M418" s="12" t="str">
        <f aca="false">IF(OR($F418="",$F418=0),"",$L418/$F418)</f>
        <v/>
      </c>
      <c r="N418" s="14"/>
      <c r="O418" s="14"/>
      <c r="P418" s="14"/>
      <c r="Q418" s="14"/>
    </row>
    <row r="419" customFormat="false" ht="15" hidden="false" customHeight="false" outlineLevel="0" collapsed="false">
      <c r="A419" s="16"/>
      <c r="B419" s="14"/>
      <c r="C419" s="14" t="str">
        <f aca="false">IFERROR(IF($B419="","",INDEX(Inventory!$B$3:$B$253,MATCH($B419,Inventory!$A$3:$A$253,0))),"")</f>
        <v/>
      </c>
      <c r="D419" s="15"/>
      <c r="E419" s="11"/>
      <c r="F419" s="11" t="str">
        <f aca="false">IF($D419="","",$D419*$E419)</f>
        <v/>
      </c>
      <c r="G419" s="11" t="str">
        <f aca="false">IFERROR(IF($B419="","",INDEX(Inventory!$G$3:$G$253,MATCH($B419,Inventory!$A$3:$A$253,0))),"")</f>
        <v/>
      </c>
      <c r="H419" s="11" t="str">
        <f aca="false">IF($D419="","",$D419*IFERROR($G419+0,0))</f>
        <v/>
      </c>
      <c r="I419" s="11"/>
      <c r="J419" s="11"/>
      <c r="K419" s="11" t="str">
        <f aca="false">IF($F419="","",$F419-$I419-$J419)</f>
        <v/>
      </c>
      <c r="L419" s="11" t="str">
        <f aca="false">IF($K419="","",$K419-$H419)</f>
        <v/>
      </c>
      <c r="M419" s="12" t="str">
        <f aca="false">IF(OR($F419="",$F419=0),"",$L419/$F419)</f>
        <v/>
      </c>
      <c r="N419" s="14"/>
      <c r="O419" s="14"/>
      <c r="P419" s="14"/>
      <c r="Q419" s="14"/>
    </row>
    <row r="420" customFormat="false" ht="15" hidden="false" customHeight="false" outlineLevel="0" collapsed="false">
      <c r="A420" s="16"/>
      <c r="B420" s="14"/>
      <c r="C420" s="14" t="str">
        <f aca="false">IFERROR(IF($B420="","",INDEX(Inventory!$B$3:$B$253,MATCH($B420,Inventory!$A$3:$A$253,0))),"")</f>
        <v/>
      </c>
      <c r="D420" s="15"/>
      <c r="E420" s="11"/>
      <c r="F420" s="11" t="str">
        <f aca="false">IF($D420="","",$D420*$E420)</f>
        <v/>
      </c>
      <c r="G420" s="11" t="str">
        <f aca="false">IFERROR(IF($B420="","",INDEX(Inventory!$G$3:$G$253,MATCH($B420,Inventory!$A$3:$A$253,0))),"")</f>
        <v/>
      </c>
      <c r="H420" s="11" t="str">
        <f aca="false">IF($D420="","",$D420*IFERROR($G420+0,0))</f>
        <v/>
      </c>
      <c r="I420" s="11"/>
      <c r="J420" s="11"/>
      <c r="K420" s="11" t="str">
        <f aca="false">IF($F420="","",$F420-$I420-$J420)</f>
        <v/>
      </c>
      <c r="L420" s="11" t="str">
        <f aca="false">IF($K420="","",$K420-$H420)</f>
        <v/>
      </c>
      <c r="M420" s="12" t="str">
        <f aca="false">IF(OR($F420="",$F420=0),"",$L420/$F420)</f>
        <v/>
      </c>
      <c r="N420" s="14"/>
      <c r="O420" s="14"/>
      <c r="P420" s="14"/>
      <c r="Q420" s="14"/>
    </row>
    <row r="421" customFormat="false" ht="15" hidden="false" customHeight="false" outlineLevel="0" collapsed="false">
      <c r="A421" s="16"/>
      <c r="B421" s="14"/>
      <c r="C421" s="14" t="str">
        <f aca="false">IFERROR(IF($B421="","",INDEX(Inventory!$B$3:$B$253,MATCH($B421,Inventory!$A$3:$A$253,0))),"")</f>
        <v/>
      </c>
      <c r="D421" s="15"/>
      <c r="E421" s="11"/>
      <c r="F421" s="11" t="str">
        <f aca="false">IF($D421="","",$D421*$E421)</f>
        <v/>
      </c>
      <c r="G421" s="11" t="str">
        <f aca="false">IFERROR(IF($B421="","",INDEX(Inventory!$G$3:$G$253,MATCH($B421,Inventory!$A$3:$A$253,0))),"")</f>
        <v/>
      </c>
      <c r="H421" s="11" t="str">
        <f aca="false">IF($D421="","",$D421*IFERROR($G421+0,0))</f>
        <v/>
      </c>
      <c r="I421" s="11"/>
      <c r="J421" s="11"/>
      <c r="K421" s="11" t="str">
        <f aca="false">IF($F421="","",$F421-$I421-$J421)</f>
        <v/>
      </c>
      <c r="L421" s="11" t="str">
        <f aca="false">IF($K421="","",$K421-$H421)</f>
        <v/>
      </c>
      <c r="M421" s="12" t="str">
        <f aca="false">IF(OR($F421="",$F421=0),"",$L421/$F421)</f>
        <v/>
      </c>
      <c r="N421" s="14"/>
      <c r="O421" s="14"/>
      <c r="P421" s="14"/>
      <c r="Q421" s="14"/>
    </row>
    <row r="422" customFormat="false" ht="15" hidden="false" customHeight="false" outlineLevel="0" collapsed="false">
      <c r="A422" s="16"/>
      <c r="B422" s="14"/>
      <c r="C422" s="14" t="str">
        <f aca="false">IFERROR(IF($B422="","",INDEX(Inventory!$B$3:$B$253,MATCH($B422,Inventory!$A$3:$A$253,0))),"")</f>
        <v/>
      </c>
      <c r="D422" s="15"/>
      <c r="E422" s="11"/>
      <c r="F422" s="11" t="str">
        <f aca="false">IF($D422="","",$D422*$E422)</f>
        <v/>
      </c>
      <c r="G422" s="11" t="str">
        <f aca="false">IFERROR(IF($B422="","",INDEX(Inventory!$G$3:$G$253,MATCH($B422,Inventory!$A$3:$A$253,0))),"")</f>
        <v/>
      </c>
      <c r="H422" s="11" t="str">
        <f aca="false">IF($D422="","",$D422*IFERROR($G422+0,0))</f>
        <v/>
      </c>
      <c r="I422" s="11"/>
      <c r="J422" s="11"/>
      <c r="K422" s="11" t="str">
        <f aca="false">IF($F422="","",$F422-$I422-$J422)</f>
        <v/>
      </c>
      <c r="L422" s="11" t="str">
        <f aca="false">IF($K422="","",$K422-$H422)</f>
        <v/>
      </c>
      <c r="M422" s="12" t="str">
        <f aca="false">IF(OR($F422="",$F422=0),"",$L422/$F422)</f>
        <v/>
      </c>
      <c r="N422" s="14"/>
      <c r="O422" s="14"/>
      <c r="P422" s="14"/>
      <c r="Q422" s="14"/>
    </row>
    <row r="423" customFormat="false" ht="15" hidden="false" customHeight="false" outlineLevel="0" collapsed="false">
      <c r="A423" s="16"/>
      <c r="B423" s="14"/>
      <c r="C423" s="14" t="str">
        <f aca="false">IFERROR(IF($B423="","",INDEX(Inventory!$B$3:$B$253,MATCH($B423,Inventory!$A$3:$A$253,0))),"")</f>
        <v/>
      </c>
      <c r="D423" s="15"/>
      <c r="E423" s="11"/>
      <c r="F423" s="11" t="str">
        <f aca="false">IF($D423="","",$D423*$E423)</f>
        <v/>
      </c>
      <c r="G423" s="11" t="str">
        <f aca="false">IFERROR(IF($B423="","",INDEX(Inventory!$G$3:$G$253,MATCH($B423,Inventory!$A$3:$A$253,0))),"")</f>
        <v/>
      </c>
      <c r="H423" s="11" t="str">
        <f aca="false">IF($D423="","",$D423*IFERROR($G423+0,0))</f>
        <v/>
      </c>
      <c r="I423" s="11"/>
      <c r="J423" s="11"/>
      <c r="K423" s="11" t="str">
        <f aca="false">IF($F423="","",$F423-$I423-$J423)</f>
        <v/>
      </c>
      <c r="L423" s="11" t="str">
        <f aca="false">IF($K423="","",$K423-$H423)</f>
        <v/>
      </c>
      <c r="M423" s="12" t="str">
        <f aca="false">IF(OR($F423="",$F423=0),"",$L423/$F423)</f>
        <v/>
      </c>
      <c r="N423" s="14"/>
      <c r="O423" s="14"/>
      <c r="P423" s="14"/>
      <c r="Q423" s="14"/>
    </row>
    <row r="424" customFormat="false" ht="15" hidden="false" customHeight="false" outlineLevel="0" collapsed="false">
      <c r="A424" s="16"/>
      <c r="B424" s="14"/>
      <c r="C424" s="14" t="str">
        <f aca="false">IFERROR(IF($B424="","",INDEX(Inventory!$B$3:$B$253,MATCH($B424,Inventory!$A$3:$A$253,0))),"")</f>
        <v/>
      </c>
      <c r="D424" s="15"/>
      <c r="E424" s="11"/>
      <c r="F424" s="11" t="str">
        <f aca="false">IF($D424="","",$D424*$E424)</f>
        <v/>
      </c>
      <c r="G424" s="11" t="str">
        <f aca="false">IFERROR(IF($B424="","",INDEX(Inventory!$G$3:$G$253,MATCH($B424,Inventory!$A$3:$A$253,0))),"")</f>
        <v/>
      </c>
      <c r="H424" s="11" t="str">
        <f aca="false">IF($D424="","",$D424*IFERROR($G424+0,0))</f>
        <v/>
      </c>
      <c r="I424" s="11"/>
      <c r="J424" s="11"/>
      <c r="K424" s="11" t="str">
        <f aca="false">IF($F424="","",$F424-$I424-$J424)</f>
        <v/>
      </c>
      <c r="L424" s="11" t="str">
        <f aca="false">IF($K424="","",$K424-$H424)</f>
        <v/>
      </c>
      <c r="M424" s="12" t="str">
        <f aca="false">IF(OR($F424="",$F424=0),"",$L424/$F424)</f>
        <v/>
      </c>
      <c r="N424" s="14"/>
      <c r="O424" s="14"/>
      <c r="P424" s="14"/>
      <c r="Q424" s="14"/>
    </row>
    <row r="425" customFormat="false" ht="15" hidden="false" customHeight="false" outlineLevel="0" collapsed="false">
      <c r="A425" s="16"/>
      <c r="B425" s="14"/>
      <c r="C425" s="14" t="str">
        <f aca="false">IFERROR(IF($B425="","",INDEX(Inventory!$B$3:$B$253,MATCH($B425,Inventory!$A$3:$A$253,0))),"")</f>
        <v/>
      </c>
      <c r="D425" s="15"/>
      <c r="E425" s="11"/>
      <c r="F425" s="11" t="str">
        <f aca="false">IF($D425="","",$D425*$E425)</f>
        <v/>
      </c>
      <c r="G425" s="11" t="str">
        <f aca="false">IFERROR(IF($B425="","",INDEX(Inventory!$G$3:$G$253,MATCH($B425,Inventory!$A$3:$A$253,0))),"")</f>
        <v/>
      </c>
      <c r="H425" s="11" t="str">
        <f aca="false">IF($D425="","",$D425*IFERROR($G425+0,0))</f>
        <v/>
      </c>
      <c r="I425" s="11"/>
      <c r="J425" s="11"/>
      <c r="K425" s="11" t="str">
        <f aca="false">IF($F425="","",$F425-$I425-$J425)</f>
        <v/>
      </c>
      <c r="L425" s="11" t="str">
        <f aca="false">IF($K425="","",$K425-$H425)</f>
        <v/>
      </c>
      <c r="M425" s="12" t="str">
        <f aca="false">IF(OR($F425="",$F425=0),"",$L425/$F425)</f>
        <v/>
      </c>
      <c r="N425" s="14"/>
      <c r="O425" s="14"/>
      <c r="P425" s="14"/>
      <c r="Q425" s="14"/>
    </row>
    <row r="426" customFormat="false" ht="15" hidden="false" customHeight="false" outlineLevel="0" collapsed="false">
      <c r="A426" s="16"/>
      <c r="B426" s="14"/>
      <c r="C426" s="14" t="str">
        <f aca="false">IFERROR(IF($B426="","",INDEX(Inventory!$B$3:$B$253,MATCH($B426,Inventory!$A$3:$A$253,0))),"")</f>
        <v/>
      </c>
      <c r="D426" s="15"/>
      <c r="E426" s="11"/>
      <c r="F426" s="11" t="str">
        <f aca="false">IF($D426="","",$D426*$E426)</f>
        <v/>
      </c>
      <c r="G426" s="11" t="str">
        <f aca="false">IFERROR(IF($B426="","",INDEX(Inventory!$G$3:$G$253,MATCH($B426,Inventory!$A$3:$A$253,0))),"")</f>
        <v/>
      </c>
      <c r="H426" s="11" t="str">
        <f aca="false">IF($D426="","",$D426*IFERROR($G426+0,0))</f>
        <v/>
      </c>
      <c r="I426" s="11"/>
      <c r="J426" s="11"/>
      <c r="K426" s="11" t="str">
        <f aca="false">IF($F426="","",$F426-$I426-$J426)</f>
        <v/>
      </c>
      <c r="L426" s="11" t="str">
        <f aca="false">IF($K426="","",$K426-$H426)</f>
        <v/>
      </c>
      <c r="M426" s="12" t="str">
        <f aca="false">IF(OR($F426="",$F426=0),"",$L426/$F426)</f>
        <v/>
      </c>
      <c r="N426" s="14"/>
      <c r="O426" s="14"/>
      <c r="P426" s="14"/>
      <c r="Q426" s="14"/>
    </row>
    <row r="427" customFormat="false" ht="15" hidden="false" customHeight="false" outlineLevel="0" collapsed="false">
      <c r="A427" s="16"/>
      <c r="B427" s="14"/>
      <c r="C427" s="14" t="str">
        <f aca="false">IFERROR(IF($B427="","",INDEX(Inventory!$B$3:$B$253,MATCH($B427,Inventory!$A$3:$A$253,0))),"")</f>
        <v/>
      </c>
      <c r="D427" s="15"/>
      <c r="E427" s="11"/>
      <c r="F427" s="11" t="str">
        <f aca="false">IF($D427="","",$D427*$E427)</f>
        <v/>
      </c>
      <c r="G427" s="11" t="str">
        <f aca="false">IFERROR(IF($B427="","",INDEX(Inventory!$G$3:$G$253,MATCH($B427,Inventory!$A$3:$A$253,0))),"")</f>
        <v/>
      </c>
      <c r="H427" s="11" t="str">
        <f aca="false">IF($D427="","",$D427*IFERROR($G427+0,0))</f>
        <v/>
      </c>
      <c r="I427" s="11"/>
      <c r="J427" s="11"/>
      <c r="K427" s="11" t="str">
        <f aca="false">IF($F427="","",$F427-$I427-$J427)</f>
        <v/>
      </c>
      <c r="L427" s="11" t="str">
        <f aca="false">IF($K427="","",$K427-$H427)</f>
        <v/>
      </c>
      <c r="M427" s="12" t="str">
        <f aca="false">IF(OR($F427="",$F427=0),"",$L427/$F427)</f>
        <v/>
      </c>
      <c r="N427" s="14"/>
      <c r="O427" s="14"/>
      <c r="P427" s="14"/>
      <c r="Q427" s="14"/>
    </row>
    <row r="428" customFormat="false" ht="15" hidden="false" customHeight="false" outlineLevel="0" collapsed="false">
      <c r="A428" s="16"/>
      <c r="B428" s="14"/>
      <c r="C428" s="14" t="str">
        <f aca="false">IFERROR(IF($B428="","",INDEX(Inventory!$B$3:$B$253,MATCH($B428,Inventory!$A$3:$A$253,0))),"")</f>
        <v/>
      </c>
      <c r="D428" s="15"/>
      <c r="E428" s="11"/>
      <c r="F428" s="11" t="str">
        <f aca="false">IF($D428="","",$D428*$E428)</f>
        <v/>
      </c>
      <c r="G428" s="11" t="str">
        <f aca="false">IFERROR(IF($B428="","",INDEX(Inventory!$G$3:$G$253,MATCH($B428,Inventory!$A$3:$A$253,0))),"")</f>
        <v/>
      </c>
      <c r="H428" s="11" t="str">
        <f aca="false">IF($D428="","",$D428*IFERROR($G428+0,0))</f>
        <v/>
      </c>
      <c r="I428" s="11"/>
      <c r="J428" s="11"/>
      <c r="K428" s="11" t="str">
        <f aca="false">IF($F428="","",$F428-$I428-$J428)</f>
        <v/>
      </c>
      <c r="L428" s="11" t="str">
        <f aca="false">IF($K428="","",$K428-$H428)</f>
        <v/>
      </c>
      <c r="M428" s="12" t="str">
        <f aca="false">IF(OR($F428="",$F428=0),"",$L428/$F428)</f>
        <v/>
      </c>
      <c r="N428" s="14"/>
      <c r="O428" s="14"/>
      <c r="P428" s="14"/>
      <c r="Q428" s="14"/>
    </row>
    <row r="429" customFormat="false" ht="15" hidden="false" customHeight="false" outlineLevel="0" collapsed="false">
      <c r="A429" s="16"/>
      <c r="B429" s="14"/>
      <c r="C429" s="14" t="str">
        <f aca="false">IFERROR(IF($B429="","",INDEX(Inventory!$B$3:$B$253,MATCH($B429,Inventory!$A$3:$A$253,0))),"")</f>
        <v/>
      </c>
      <c r="D429" s="15"/>
      <c r="E429" s="11"/>
      <c r="F429" s="11" t="str">
        <f aca="false">IF($D429="","",$D429*$E429)</f>
        <v/>
      </c>
      <c r="G429" s="11" t="str">
        <f aca="false">IFERROR(IF($B429="","",INDEX(Inventory!$G$3:$G$253,MATCH($B429,Inventory!$A$3:$A$253,0))),"")</f>
        <v/>
      </c>
      <c r="H429" s="11" t="str">
        <f aca="false">IF($D429="","",$D429*IFERROR($G429+0,0))</f>
        <v/>
      </c>
      <c r="I429" s="11"/>
      <c r="J429" s="11"/>
      <c r="K429" s="11" t="str">
        <f aca="false">IF($F429="","",$F429-$I429-$J429)</f>
        <v/>
      </c>
      <c r="L429" s="11" t="str">
        <f aca="false">IF($K429="","",$K429-$H429)</f>
        <v/>
      </c>
      <c r="M429" s="12" t="str">
        <f aca="false">IF(OR($F429="",$F429=0),"",$L429/$F429)</f>
        <v/>
      </c>
      <c r="N429" s="14"/>
      <c r="O429" s="14"/>
      <c r="P429" s="14"/>
      <c r="Q429" s="14"/>
    </row>
    <row r="430" customFormat="false" ht="15" hidden="false" customHeight="false" outlineLevel="0" collapsed="false">
      <c r="A430" s="16"/>
      <c r="B430" s="14"/>
      <c r="C430" s="14" t="str">
        <f aca="false">IFERROR(IF($B430="","",INDEX(Inventory!$B$3:$B$253,MATCH($B430,Inventory!$A$3:$A$253,0))),"")</f>
        <v/>
      </c>
      <c r="D430" s="15"/>
      <c r="E430" s="11"/>
      <c r="F430" s="11" t="str">
        <f aca="false">IF($D430="","",$D430*$E430)</f>
        <v/>
      </c>
      <c r="G430" s="11" t="str">
        <f aca="false">IFERROR(IF($B430="","",INDEX(Inventory!$G$3:$G$253,MATCH($B430,Inventory!$A$3:$A$253,0))),"")</f>
        <v/>
      </c>
      <c r="H430" s="11" t="str">
        <f aca="false">IF($D430="","",$D430*IFERROR($G430+0,0))</f>
        <v/>
      </c>
      <c r="I430" s="11"/>
      <c r="J430" s="11"/>
      <c r="K430" s="11" t="str">
        <f aca="false">IF($F430="","",$F430-$I430-$J430)</f>
        <v/>
      </c>
      <c r="L430" s="11" t="str">
        <f aca="false">IF($K430="","",$K430-$H430)</f>
        <v/>
      </c>
      <c r="M430" s="12" t="str">
        <f aca="false">IF(OR($F430="",$F430=0),"",$L430/$F430)</f>
        <v/>
      </c>
      <c r="N430" s="14"/>
      <c r="O430" s="14"/>
      <c r="P430" s="14"/>
      <c r="Q430" s="14"/>
    </row>
    <row r="431" customFormat="false" ht="15" hidden="false" customHeight="false" outlineLevel="0" collapsed="false">
      <c r="A431" s="16"/>
      <c r="B431" s="14"/>
      <c r="C431" s="14" t="str">
        <f aca="false">IFERROR(IF($B431="","",INDEX(Inventory!$B$3:$B$253,MATCH($B431,Inventory!$A$3:$A$253,0))),"")</f>
        <v/>
      </c>
      <c r="D431" s="15"/>
      <c r="E431" s="11"/>
      <c r="F431" s="11" t="str">
        <f aca="false">IF($D431="","",$D431*$E431)</f>
        <v/>
      </c>
      <c r="G431" s="11" t="str">
        <f aca="false">IFERROR(IF($B431="","",INDEX(Inventory!$G$3:$G$253,MATCH($B431,Inventory!$A$3:$A$253,0))),"")</f>
        <v/>
      </c>
      <c r="H431" s="11" t="str">
        <f aca="false">IF($D431="","",$D431*IFERROR($G431+0,0))</f>
        <v/>
      </c>
      <c r="I431" s="11"/>
      <c r="J431" s="11"/>
      <c r="K431" s="11" t="str">
        <f aca="false">IF($F431="","",$F431-$I431-$J431)</f>
        <v/>
      </c>
      <c r="L431" s="11" t="str">
        <f aca="false">IF($K431="","",$K431-$H431)</f>
        <v/>
      </c>
      <c r="M431" s="12" t="str">
        <f aca="false">IF(OR($F431="",$F431=0),"",$L431/$F431)</f>
        <v/>
      </c>
      <c r="N431" s="14"/>
      <c r="O431" s="14"/>
      <c r="P431" s="14"/>
      <c r="Q431" s="14"/>
    </row>
    <row r="432" customFormat="false" ht="15" hidden="false" customHeight="false" outlineLevel="0" collapsed="false">
      <c r="A432" s="16"/>
      <c r="B432" s="14"/>
      <c r="C432" s="14" t="str">
        <f aca="false">IFERROR(IF($B432="","",INDEX(Inventory!$B$3:$B$253,MATCH($B432,Inventory!$A$3:$A$253,0))),"")</f>
        <v/>
      </c>
      <c r="D432" s="15"/>
      <c r="E432" s="11"/>
      <c r="F432" s="11" t="str">
        <f aca="false">IF($D432="","",$D432*$E432)</f>
        <v/>
      </c>
      <c r="G432" s="11" t="str">
        <f aca="false">IFERROR(IF($B432="","",INDEX(Inventory!$G$3:$G$253,MATCH($B432,Inventory!$A$3:$A$253,0))),"")</f>
        <v/>
      </c>
      <c r="H432" s="11" t="str">
        <f aca="false">IF($D432="","",$D432*IFERROR($G432+0,0))</f>
        <v/>
      </c>
      <c r="I432" s="11"/>
      <c r="J432" s="11"/>
      <c r="K432" s="11" t="str">
        <f aca="false">IF($F432="","",$F432-$I432-$J432)</f>
        <v/>
      </c>
      <c r="L432" s="11" t="str">
        <f aca="false">IF($K432="","",$K432-$H432)</f>
        <v/>
      </c>
      <c r="M432" s="12" t="str">
        <f aca="false">IF(OR($F432="",$F432=0),"",$L432/$F432)</f>
        <v/>
      </c>
      <c r="N432" s="14"/>
      <c r="O432" s="14"/>
      <c r="P432" s="14"/>
      <c r="Q432" s="14"/>
    </row>
    <row r="433" customFormat="false" ht="15" hidden="false" customHeight="false" outlineLevel="0" collapsed="false">
      <c r="A433" s="16"/>
      <c r="B433" s="14"/>
      <c r="C433" s="14" t="str">
        <f aca="false">IFERROR(IF($B433="","",INDEX(Inventory!$B$3:$B$253,MATCH($B433,Inventory!$A$3:$A$253,0))),"")</f>
        <v/>
      </c>
      <c r="D433" s="15"/>
      <c r="E433" s="11"/>
      <c r="F433" s="11" t="str">
        <f aca="false">IF($D433="","",$D433*$E433)</f>
        <v/>
      </c>
      <c r="G433" s="11" t="str">
        <f aca="false">IFERROR(IF($B433="","",INDEX(Inventory!$G$3:$G$253,MATCH($B433,Inventory!$A$3:$A$253,0))),"")</f>
        <v/>
      </c>
      <c r="H433" s="11" t="str">
        <f aca="false">IF($D433="","",$D433*IFERROR($G433+0,0))</f>
        <v/>
      </c>
      <c r="I433" s="11"/>
      <c r="J433" s="11"/>
      <c r="K433" s="11" t="str">
        <f aca="false">IF($F433="","",$F433-$I433-$J433)</f>
        <v/>
      </c>
      <c r="L433" s="11" t="str">
        <f aca="false">IF($K433="","",$K433-$H433)</f>
        <v/>
      </c>
      <c r="M433" s="12" t="str">
        <f aca="false">IF(OR($F433="",$F433=0),"",$L433/$F433)</f>
        <v/>
      </c>
      <c r="N433" s="14"/>
      <c r="O433" s="14"/>
      <c r="P433" s="14"/>
      <c r="Q433" s="14"/>
    </row>
    <row r="434" customFormat="false" ht="15" hidden="false" customHeight="false" outlineLevel="0" collapsed="false">
      <c r="A434" s="16"/>
      <c r="B434" s="14"/>
      <c r="C434" s="14" t="str">
        <f aca="false">IFERROR(IF($B434="","",INDEX(Inventory!$B$3:$B$253,MATCH($B434,Inventory!$A$3:$A$253,0))),"")</f>
        <v/>
      </c>
      <c r="D434" s="15"/>
      <c r="E434" s="11"/>
      <c r="F434" s="11" t="str">
        <f aca="false">IF($D434="","",$D434*$E434)</f>
        <v/>
      </c>
      <c r="G434" s="11" t="str">
        <f aca="false">IFERROR(IF($B434="","",INDEX(Inventory!$G$3:$G$253,MATCH($B434,Inventory!$A$3:$A$253,0))),"")</f>
        <v/>
      </c>
      <c r="H434" s="11" t="str">
        <f aca="false">IF($D434="","",$D434*IFERROR($G434+0,0))</f>
        <v/>
      </c>
      <c r="I434" s="11"/>
      <c r="J434" s="11"/>
      <c r="K434" s="11" t="str">
        <f aca="false">IF($F434="","",$F434-$I434-$J434)</f>
        <v/>
      </c>
      <c r="L434" s="11" t="str">
        <f aca="false">IF($K434="","",$K434-$H434)</f>
        <v/>
      </c>
      <c r="M434" s="12" t="str">
        <f aca="false">IF(OR($F434="",$F434=0),"",$L434/$F434)</f>
        <v/>
      </c>
      <c r="N434" s="14"/>
      <c r="O434" s="14"/>
      <c r="P434" s="14"/>
      <c r="Q434" s="14"/>
    </row>
    <row r="435" customFormat="false" ht="15" hidden="false" customHeight="false" outlineLevel="0" collapsed="false">
      <c r="A435" s="16"/>
      <c r="B435" s="14"/>
      <c r="C435" s="14" t="str">
        <f aca="false">IFERROR(IF($B435="","",INDEX(Inventory!$B$3:$B$253,MATCH($B435,Inventory!$A$3:$A$253,0))),"")</f>
        <v/>
      </c>
      <c r="D435" s="15"/>
      <c r="E435" s="11"/>
      <c r="F435" s="11" t="str">
        <f aca="false">IF($D435="","",$D435*$E435)</f>
        <v/>
      </c>
      <c r="G435" s="11" t="str">
        <f aca="false">IFERROR(IF($B435="","",INDEX(Inventory!$G$3:$G$253,MATCH($B435,Inventory!$A$3:$A$253,0))),"")</f>
        <v/>
      </c>
      <c r="H435" s="11" t="str">
        <f aca="false">IF($D435="","",$D435*IFERROR($G435+0,0))</f>
        <v/>
      </c>
      <c r="I435" s="11"/>
      <c r="J435" s="11"/>
      <c r="K435" s="11" t="str">
        <f aca="false">IF($F435="","",$F435-$I435-$J435)</f>
        <v/>
      </c>
      <c r="L435" s="11" t="str">
        <f aca="false">IF($K435="","",$K435-$H435)</f>
        <v/>
      </c>
      <c r="M435" s="12" t="str">
        <f aca="false">IF(OR($F435="",$F435=0),"",$L435/$F435)</f>
        <v/>
      </c>
      <c r="N435" s="14"/>
      <c r="O435" s="14"/>
      <c r="P435" s="14"/>
      <c r="Q435" s="14"/>
    </row>
    <row r="436" customFormat="false" ht="15" hidden="false" customHeight="false" outlineLevel="0" collapsed="false">
      <c r="A436" s="16"/>
      <c r="B436" s="14"/>
      <c r="C436" s="14" t="str">
        <f aca="false">IFERROR(IF($B436="","",INDEX(Inventory!$B$3:$B$253,MATCH($B436,Inventory!$A$3:$A$253,0))),"")</f>
        <v/>
      </c>
      <c r="D436" s="15"/>
      <c r="E436" s="11"/>
      <c r="F436" s="11" t="str">
        <f aca="false">IF($D436="","",$D436*$E436)</f>
        <v/>
      </c>
      <c r="G436" s="11" t="str">
        <f aca="false">IFERROR(IF($B436="","",INDEX(Inventory!$G$3:$G$253,MATCH($B436,Inventory!$A$3:$A$253,0))),"")</f>
        <v/>
      </c>
      <c r="H436" s="11" t="str">
        <f aca="false">IF($D436="","",$D436*IFERROR($G436+0,0))</f>
        <v/>
      </c>
      <c r="I436" s="11"/>
      <c r="J436" s="11"/>
      <c r="K436" s="11" t="str">
        <f aca="false">IF($F436="","",$F436-$I436-$J436)</f>
        <v/>
      </c>
      <c r="L436" s="11" t="str">
        <f aca="false">IF($K436="","",$K436-$H436)</f>
        <v/>
      </c>
      <c r="M436" s="12" t="str">
        <f aca="false">IF(OR($F436="",$F436=0),"",$L436/$F436)</f>
        <v/>
      </c>
      <c r="N436" s="14"/>
      <c r="O436" s="14"/>
      <c r="P436" s="14"/>
      <c r="Q436" s="14"/>
    </row>
    <row r="437" customFormat="false" ht="15" hidden="false" customHeight="false" outlineLevel="0" collapsed="false">
      <c r="A437" s="16"/>
      <c r="B437" s="14"/>
      <c r="C437" s="14" t="str">
        <f aca="false">IFERROR(IF($B437="","",INDEX(Inventory!$B$3:$B$253,MATCH($B437,Inventory!$A$3:$A$253,0))),"")</f>
        <v/>
      </c>
      <c r="D437" s="15"/>
      <c r="E437" s="11"/>
      <c r="F437" s="11" t="str">
        <f aca="false">IF($D437="","",$D437*$E437)</f>
        <v/>
      </c>
      <c r="G437" s="11" t="str">
        <f aca="false">IFERROR(IF($B437="","",INDEX(Inventory!$G$3:$G$253,MATCH($B437,Inventory!$A$3:$A$253,0))),"")</f>
        <v/>
      </c>
      <c r="H437" s="11" t="str">
        <f aca="false">IF($D437="","",$D437*IFERROR($G437+0,0))</f>
        <v/>
      </c>
      <c r="I437" s="11"/>
      <c r="J437" s="11"/>
      <c r="K437" s="11" t="str">
        <f aca="false">IF($F437="","",$F437-$I437-$J437)</f>
        <v/>
      </c>
      <c r="L437" s="11" t="str">
        <f aca="false">IF($K437="","",$K437-$H437)</f>
        <v/>
      </c>
      <c r="M437" s="12" t="str">
        <f aca="false">IF(OR($F437="",$F437=0),"",$L437/$F437)</f>
        <v/>
      </c>
      <c r="N437" s="14"/>
      <c r="O437" s="14"/>
      <c r="P437" s="14"/>
      <c r="Q437" s="14"/>
    </row>
    <row r="438" customFormat="false" ht="15" hidden="false" customHeight="false" outlineLevel="0" collapsed="false">
      <c r="A438" s="16"/>
      <c r="B438" s="14"/>
      <c r="C438" s="14" t="str">
        <f aca="false">IFERROR(IF($B438="","",INDEX(Inventory!$B$3:$B$253,MATCH($B438,Inventory!$A$3:$A$253,0))),"")</f>
        <v/>
      </c>
      <c r="D438" s="15"/>
      <c r="E438" s="11"/>
      <c r="F438" s="11" t="str">
        <f aca="false">IF($D438="","",$D438*$E438)</f>
        <v/>
      </c>
      <c r="G438" s="11" t="str">
        <f aca="false">IFERROR(IF($B438="","",INDEX(Inventory!$G$3:$G$253,MATCH($B438,Inventory!$A$3:$A$253,0))),"")</f>
        <v/>
      </c>
      <c r="H438" s="11" t="str">
        <f aca="false">IF($D438="","",$D438*IFERROR($G438+0,0))</f>
        <v/>
      </c>
      <c r="I438" s="11"/>
      <c r="J438" s="11"/>
      <c r="K438" s="11" t="str">
        <f aca="false">IF($F438="","",$F438-$I438-$J438)</f>
        <v/>
      </c>
      <c r="L438" s="11" t="str">
        <f aca="false">IF($K438="","",$K438-$H438)</f>
        <v/>
      </c>
      <c r="M438" s="12" t="str">
        <f aca="false">IF(OR($F438="",$F438=0),"",$L438/$F438)</f>
        <v/>
      </c>
      <c r="N438" s="14"/>
      <c r="O438" s="14"/>
      <c r="P438" s="14"/>
      <c r="Q438" s="14"/>
    </row>
    <row r="439" customFormat="false" ht="15" hidden="false" customHeight="false" outlineLevel="0" collapsed="false">
      <c r="A439" s="16"/>
      <c r="B439" s="14"/>
      <c r="C439" s="14" t="str">
        <f aca="false">IFERROR(IF($B439="","",INDEX(Inventory!$B$3:$B$253,MATCH($B439,Inventory!$A$3:$A$253,0))),"")</f>
        <v/>
      </c>
      <c r="D439" s="15"/>
      <c r="E439" s="11"/>
      <c r="F439" s="11" t="str">
        <f aca="false">IF($D439="","",$D439*$E439)</f>
        <v/>
      </c>
      <c r="G439" s="11" t="str">
        <f aca="false">IFERROR(IF($B439="","",INDEX(Inventory!$G$3:$G$253,MATCH($B439,Inventory!$A$3:$A$253,0))),"")</f>
        <v/>
      </c>
      <c r="H439" s="11" t="str">
        <f aca="false">IF($D439="","",$D439*IFERROR($G439+0,0))</f>
        <v/>
      </c>
      <c r="I439" s="11"/>
      <c r="J439" s="11"/>
      <c r="K439" s="11" t="str">
        <f aca="false">IF($F439="","",$F439-$I439-$J439)</f>
        <v/>
      </c>
      <c r="L439" s="11" t="str">
        <f aca="false">IF($K439="","",$K439-$H439)</f>
        <v/>
      </c>
      <c r="M439" s="12" t="str">
        <f aca="false">IF(OR($F439="",$F439=0),"",$L439/$F439)</f>
        <v/>
      </c>
      <c r="N439" s="14"/>
      <c r="O439" s="14"/>
      <c r="P439" s="14"/>
      <c r="Q439" s="14"/>
    </row>
    <row r="440" customFormat="false" ht="15" hidden="false" customHeight="false" outlineLevel="0" collapsed="false">
      <c r="A440" s="16"/>
      <c r="B440" s="14"/>
      <c r="C440" s="14" t="str">
        <f aca="false">IFERROR(IF($B440="","",INDEX(Inventory!$B$3:$B$253,MATCH($B440,Inventory!$A$3:$A$253,0))),"")</f>
        <v/>
      </c>
      <c r="D440" s="15"/>
      <c r="E440" s="11"/>
      <c r="F440" s="11" t="str">
        <f aca="false">IF($D440="","",$D440*$E440)</f>
        <v/>
      </c>
      <c r="G440" s="11" t="str">
        <f aca="false">IFERROR(IF($B440="","",INDEX(Inventory!$G$3:$G$253,MATCH($B440,Inventory!$A$3:$A$253,0))),"")</f>
        <v/>
      </c>
      <c r="H440" s="11" t="str">
        <f aca="false">IF($D440="","",$D440*IFERROR($G440+0,0))</f>
        <v/>
      </c>
      <c r="I440" s="11"/>
      <c r="J440" s="11"/>
      <c r="K440" s="11" t="str">
        <f aca="false">IF($F440="","",$F440-$I440-$J440)</f>
        <v/>
      </c>
      <c r="L440" s="11" t="str">
        <f aca="false">IF($K440="","",$K440-$H440)</f>
        <v/>
      </c>
      <c r="M440" s="12" t="str">
        <f aca="false">IF(OR($F440="",$F440=0),"",$L440/$F440)</f>
        <v/>
      </c>
      <c r="N440" s="14"/>
      <c r="O440" s="14"/>
      <c r="P440" s="14"/>
      <c r="Q440" s="14"/>
    </row>
    <row r="441" customFormat="false" ht="15" hidden="false" customHeight="false" outlineLevel="0" collapsed="false">
      <c r="A441" s="16"/>
      <c r="B441" s="14"/>
      <c r="C441" s="14" t="str">
        <f aca="false">IFERROR(IF($B441="","",INDEX(Inventory!$B$3:$B$253,MATCH($B441,Inventory!$A$3:$A$253,0))),"")</f>
        <v/>
      </c>
      <c r="D441" s="15"/>
      <c r="E441" s="11"/>
      <c r="F441" s="11" t="str">
        <f aca="false">IF($D441="","",$D441*$E441)</f>
        <v/>
      </c>
      <c r="G441" s="11" t="str">
        <f aca="false">IFERROR(IF($B441="","",INDEX(Inventory!$G$3:$G$253,MATCH($B441,Inventory!$A$3:$A$253,0))),"")</f>
        <v/>
      </c>
      <c r="H441" s="11" t="str">
        <f aca="false">IF($D441="","",$D441*IFERROR($G441+0,0))</f>
        <v/>
      </c>
      <c r="I441" s="11"/>
      <c r="J441" s="11"/>
      <c r="K441" s="11" t="str">
        <f aca="false">IF($F441="","",$F441-$I441-$J441)</f>
        <v/>
      </c>
      <c r="L441" s="11" t="str">
        <f aca="false">IF($K441="","",$K441-$H441)</f>
        <v/>
      </c>
      <c r="M441" s="12" t="str">
        <f aca="false">IF(OR($F441="",$F441=0),"",$L441/$F441)</f>
        <v/>
      </c>
      <c r="N441" s="14"/>
      <c r="O441" s="14"/>
      <c r="P441" s="14"/>
      <c r="Q441" s="14"/>
    </row>
    <row r="442" customFormat="false" ht="15" hidden="false" customHeight="false" outlineLevel="0" collapsed="false">
      <c r="A442" s="16"/>
      <c r="B442" s="14"/>
      <c r="C442" s="14" t="str">
        <f aca="false">IFERROR(IF($B442="","",INDEX(Inventory!$B$3:$B$253,MATCH($B442,Inventory!$A$3:$A$253,0))),"")</f>
        <v/>
      </c>
      <c r="D442" s="15"/>
      <c r="E442" s="11"/>
      <c r="F442" s="11" t="str">
        <f aca="false">IF($D442="","",$D442*$E442)</f>
        <v/>
      </c>
      <c r="G442" s="11" t="str">
        <f aca="false">IFERROR(IF($B442="","",INDEX(Inventory!$G$3:$G$253,MATCH($B442,Inventory!$A$3:$A$253,0))),"")</f>
        <v/>
      </c>
      <c r="H442" s="11" t="str">
        <f aca="false">IF($D442="","",$D442*IFERROR($G442+0,0))</f>
        <v/>
      </c>
      <c r="I442" s="11"/>
      <c r="J442" s="11"/>
      <c r="K442" s="11" t="str">
        <f aca="false">IF($F442="","",$F442-$I442-$J442)</f>
        <v/>
      </c>
      <c r="L442" s="11" t="str">
        <f aca="false">IF($K442="","",$K442-$H442)</f>
        <v/>
      </c>
      <c r="M442" s="12" t="str">
        <f aca="false">IF(OR($F442="",$F442=0),"",$L442/$F442)</f>
        <v/>
      </c>
      <c r="N442" s="14"/>
      <c r="O442" s="14"/>
      <c r="P442" s="14"/>
      <c r="Q442" s="14"/>
    </row>
    <row r="443" customFormat="false" ht="15" hidden="false" customHeight="false" outlineLevel="0" collapsed="false">
      <c r="A443" s="16"/>
      <c r="B443" s="14"/>
      <c r="C443" s="14" t="str">
        <f aca="false">IFERROR(IF($B443="","",INDEX(Inventory!$B$3:$B$253,MATCH($B443,Inventory!$A$3:$A$253,0))),"")</f>
        <v/>
      </c>
      <c r="D443" s="15"/>
      <c r="E443" s="11"/>
      <c r="F443" s="11" t="str">
        <f aca="false">IF($D443="","",$D443*$E443)</f>
        <v/>
      </c>
      <c r="G443" s="11" t="str">
        <f aca="false">IFERROR(IF($B443="","",INDEX(Inventory!$G$3:$G$253,MATCH($B443,Inventory!$A$3:$A$253,0))),"")</f>
        <v/>
      </c>
      <c r="H443" s="11" t="str">
        <f aca="false">IF($D443="","",$D443*IFERROR($G443+0,0))</f>
        <v/>
      </c>
      <c r="I443" s="11"/>
      <c r="J443" s="11"/>
      <c r="K443" s="11" t="str">
        <f aca="false">IF($F443="","",$F443-$I443-$J443)</f>
        <v/>
      </c>
      <c r="L443" s="11" t="str">
        <f aca="false">IF($K443="","",$K443-$H443)</f>
        <v/>
      </c>
      <c r="M443" s="12" t="str">
        <f aca="false">IF(OR($F443="",$F443=0),"",$L443/$F443)</f>
        <v/>
      </c>
      <c r="N443" s="14"/>
      <c r="O443" s="14"/>
      <c r="P443" s="14"/>
      <c r="Q443" s="14"/>
    </row>
    <row r="444" customFormat="false" ht="15" hidden="false" customHeight="false" outlineLevel="0" collapsed="false">
      <c r="A444" s="16"/>
      <c r="B444" s="14"/>
      <c r="C444" s="14" t="str">
        <f aca="false">IFERROR(IF($B444="","",INDEX(Inventory!$B$3:$B$253,MATCH($B444,Inventory!$A$3:$A$253,0))),"")</f>
        <v/>
      </c>
      <c r="D444" s="15"/>
      <c r="E444" s="11"/>
      <c r="F444" s="11" t="str">
        <f aca="false">IF($D444="","",$D444*$E444)</f>
        <v/>
      </c>
      <c r="G444" s="11" t="str">
        <f aca="false">IFERROR(IF($B444="","",INDEX(Inventory!$G$3:$G$253,MATCH($B444,Inventory!$A$3:$A$253,0))),"")</f>
        <v/>
      </c>
      <c r="H444" s="11" t="str">
        <f aca="false">IF($D444="","",$D444*IFERROR($G444+0,0))</f>
        <v/>
      </c>
      <c r="I444" s="11"/>
      <c r="J444" s="11"/>
      <c r="K444" s="11" t="str">
        <f aca="false">IF($F444="","",$F444-$I444-$J444)</f>
        <v/>
      </c>
      <c r="L444" s="11" t="str">
        <f aca="false">IF($K444="","",$K444-$H444)</f>
        <v/>
      </c>
      <c r="M444" s="12" t="str">
        <f aca="false">IF(OR($F444="",$F444=0),"",$L444/$F444)</f>
        <v/>
      </c>
      <c r="N444" s="14"/>
      <c r="O444" s="14"/>
      <c r="P444" s="14"/>
      <c r="Q444" s="14"/>
    </row>
    <row r="445" customFormat="false" ht="15" hidden="false" customHeight="false" outlineLevel="0" collapsed="false">
      <c r="A445" s="16"/>
      <c r="B445" s="14"/>
      <c r="C445" s="14" t="str">
        <f aca="false">IFERROR(IF($B445="","",INDEX(Inventory!$B$3:$B$253,MATCH($B445,Inventory!$A$3:$A$253,0))),"")</f>
        <v/>
      </c>
      <c r="D445" s="15"/>
      <c r="E445" s="11"/>
      <c r="F445" s="11" t="str">
        <f aca="false">IF($D445="","",$D445*$E445)</f>
        <v/>
      </c>
      <c r="G445" s="11" t="str">
        <f aca="false">IFERROR(IF($B445="","",INDEX(Inventory!$G$3:$G$253,MATCH($B445,Inventory!$A$3:$A$253,0))),"")</f>
        <v/>
      </c>
      <c r="H445" s="11" t="str">
        <f aca="false">IF($D445="","",$D445*IFERROR($G445+0,0))</f>
        <v/>
      </c>
      <c r="I445" s="11"/>
      <c r="J445" s="11"/>
      <c r="K445" s="11" t="str">
        <f aca="false">IF($F445="","",$F445-$I445-$J445)</f>
        <v/>
      </c>
      <c r="L445" s="11" t="str">
        <f aca="false">IF($K445="","",$K445-$H445)</f>
        <v/>
      </c>
      <c r="M445" s="12" t="str">
        <f aca="false">IF(OR($F445="",$F445=0),"",$L445/$F445)</f>
        <v/>
      </c>
      <c r="N445" s="14"/>
      <c r="O445" s="14"/>
      <c r="P445" s="14"/>
      <c r="Q445" s="14"/>
    </row>
    <row r="446" customFormat="false" ht="15" hidden="false" customHeight="false" outlineLevel="0" collapsed="false">
      <c r="A446" s="16"/>
      <c r="B446" s="14"/>
      <c r="C446" s="14" t="str">
        <f aca="false">IFERROR(IF($B446="","",INDEX(Inventory!$B$3:$B$253,MATCH($B446,Inventory!$A$3:$A$253,0))),"")</f>
        <v/>
      </c>
      <c r="D446" s="15"/>
      <c r="E446" s="11"/>
      <c r="F446" s="11" t="str">
        <f aca="false">IF($D446="","",$D446*$E446)</f>
        <v/>
      </c>
      <c r="G446" s="11" t="str">
        <f aca="false">IFERROR(IF($B446="","",INDEX(Inventory!$G$3:$G$253,MATCH($B446,Inventory!$A$3:$A$253,0))),"")</f>
        <v/>
      </c>
      <c r="H446" s="11" t="str">
        <f aca="false">IF($D446="","",$D446*IFERROR($G446+0,0))</f>
        <v/>
      </c>
      <c r="I446" s="11"/>
      <c r="J446" s="11"/>
      <c r="K446" s="11" t="str">
        <f aca="false">IF($F446="","",$F446-$I446-$J446)</f>
        <v/>
      </c>
      <c r="L446" s="11" t="str">
        <f aca="false">IF($K446="","",$K446-$H446)</f>
        <v/>
      </c>
      <c r="M446" s="12" t="str">
        <f aca="false">IF(OR($F446="",$F446=0),"",$L446/$F446)</f>
        <v/>
      </c>
      <c r="N446" s="14"/>
      <c r="O446" s="14"/>
      <c r="P446" s="14"/>
      <c r="Q446" s="14"/>
    </row>
    <row r="447" customFormat="false" ht="15" hidden="false" customHeight="false" outlineLevel="0" collapsed="false">
      <c r="A447" s="16"/>
      <c r="B447" s="14"/>
      <c r="C447" s="14" t="str">
        <f aca="false">IFERROR(IF($B447="","",INDEX(Inventory!$B$3:$B$253,MATCH($B447,Inventory!$A$3:$A$253,0))),"")</f>
        <v/>
      </c>
      <c r="D447" s="15"/>
      <c r="E447" s="11"/>
      <c r="F447" s="11" t="str">
        <f aca="false">IF($D447="","",$D447*$E447)</f>
        <v/>
      </c>
      <c r="G447" s="11" t="str">
        <f aca="false">IFERROR(IF($B447="","",INDEX(Inventory!$G$3:$G$253,MATCH($B447,Inventory!$A$3:$A$253,0))),"")</f>
        <v/>
      </c>
      <c r="H447" s="11" t="str">
        <f aca="false">IF($D447="","",$D447*IFERROR($G447+0,0))</f>
        <v/>
      </c>
      <c r="I447" s="11"/>
      <c r="J447" s="11"/>
      <c r="K447" s="11" t="str">
        <f aca="false">IF($F447="","",$F447-$I447-$J447)</f>
        <v/>
      </c>
      <c r="L447" s="11" t="str">
        <f aca="false">IF($K447="","",$K447-$H447)</f>
        <v/>
      </c>
      <c r="M447" s="12" t="str">
        <f aca="false">IF(OR($F447="",$F447=0),"",$L447/$F447)</f>
        <v/>
      </c>
      <c r="N447" s="14"/>
      <c r="O447" s="14"/>
      <c r="P447" s="14"/>
      <c r="Q447" s="14"/>
    </row>
    <row r="448" customFormat="false" ht="15" hidden="false" customHeight="false" outlineLevel="0" collapsed="false">
      <c r="A448" s="16"/>
      <c r="B448" s="14"/>
      <c r="C448" s="14" t="str">
        <f aca="false">IFERROR(IF($B448="","",INDEX(Inventory!$B$3:$B$253,MATCH($B448,Inventory!$A$3:$A$253,0))),"")</f>
        <v/>
      </c>
      <c r="D448" s="15"/>
      <c r="E448" s="11"/>
      <c r="F448" s="11" t="str">
        <f aca="false">IF($D448="","",$D448*$E448)</f>
        <v/>
      </c>
      <c r="G448" s="11" t="str">
        <f aca="false">IFERROR(IF($B448="","",INDEX(Inventory!$G$3:$G$253,MATCH($B448,Inventory!$A$3:$A$253,0))),"")</f>
        <v/>
      </c>
      <c r="H448" s="11" t="str">
        <f aca="false">IF($D448="","",$D448*IFERROR($G448+0,0))</f>
        <v/>
      </c>
      <c r="I448" s="11"/>
      <c r="J448" s="11"/>
      <c r="K448" s="11" t="str">
        <f aca="false">IF($F448="","",$F448-$I448-$J448)</f>
        <v/>
      </c>
      <c r="L448" s="11" t="str">
        <f aca="false">IF($K448="","",$K448-$H448)</f>
        <v/>
      </c>
      <c r="M448" s="12" t="str">
        <f aca="false">IF(OR($F448="",$F448=0),"",$L448/$F448)</f>
        <v/>
      </c>
      <c r="N448" s="14"/>
      <c r="O448" s="14"/>
      <c r="P448" s="14"/>
      <c r="Q448" s="14"/>
    </row>
    <row r="449" customFormat="false" ht="15" hidden="false" customHeight="false" outlineLevel="0" collapsed="false">
      <c r="A449" s="16"/>
      <c r="B449" s="14"/>
      <c r="C449" s="14" t="str">
        <f aca="false">IFERROR(IF($B449="","",INDEX(Inventory!$B$3:$B$253,MATCH($B449,Inventory!$A$3:$A$253,0))),"")</f>
        <v/>
      </c>
      <c r="D449" s="15"/>
      <c r="E449" s="11"/>
      <c r="F449" s="11" t="str">
        <f aca="false">IF($D449="","",$D449*$E449)</f>
        <v/>
      </c>
      <c r="G449" s="11" t="str">
        <f aca="false">IFERROR(IF($B449="","",INDEX(Inventory!$G$3:$G$253,MATCH($B449,Inventory!$A$3:$A$253,0))),"")</f>
        <v/>
      </c>
      <c r="H449" s="11" t="str">
        <f aca="false">IF($D449="","",$D449*IFERROR($G449+0,0))</f>
        <v/>
      </c>
      <c r="I449" s="11"/>
      <c r="J449" s="11"/>
      <c r="K449" s="11" t="str">
        <f aca="false">IF($F449="","",$F449-$I449-$J449)</f>
        <v/>
      </c>
      <c r="L449" s="11" t="str">
        <f aca="false">IF($K449="","",$K449-$H449)</f>
        <v/>
      </c>
      <c r="M449" s="12" t="str">
        <f aca="false">IF(OR($F449="",$F449=0),"",$L449/$F449)</f>
        <v/>
      </c>
      <c r="N449" s="14"/>
      <c r="O449" s="14"/>
      <c r="P449" s="14"/>
      <c r="Q449" s="14"/>
    </row>
    <row r="450" customFormat="false" ht="15" hidden="false" customHeight="false" outlineLevel="0" collapsed="false">
      <c r="A450" s="16"/>
      <c r="B450" s="14"/>
      <c r="C450" s="14" t="str">
        <f aca="false">IFERROR(IF($B450="","",INDEX(Inventory!$B$3:$B$253,MATCH($B450,Inventory!$A$3:$A$253,0))),"")</f>
        <v/>
      </c>
      <c r="D450" s="15"/>
      <c r="E450" s="11"/>
      <c r="F450" s="11" t="str">
        <f aca="false">IF($D450="","",$D450*$E450)</f>
        <v/>
      </c>
      <c r="G450" s="11" t="str">
        <f aca="false">IFERROR(IF($B450="","",INDEX(Inventory!$G$3:$G$253,MATCH($B450,Inventory!$A$3:$A$253,0))),"")</f>
        <v/>
      </c>
      <c r="H450" s="11" t="str">
        <f aca="false">IF($D450="","",$D450*IFERROR($G450+0,0))</f>
        <v/>
      </c>
      <c r="I450" s="11"/>
      <c r="J450" s="11"/>
      <c r="K450" s="11" t="str">
        <f aca="false">IF($F450="","",$F450-$I450-$J450)</f>
        <v/>
      </c>
      <c r="L450" s="11" t="str">
        <f aca="false">IF($K450="","",$K450-$H450)</f>
        <v/>
      </c>
      <c r="M450" s="12" t="str">
        <f aca="false">IF(OR($F450="",$F450=0),"",$L450/$F450)</f>
        <v/>
      </c>
      <c r="N450" s="14"/>
      <c r="O450" s="14"/>
      <c r="P450" s="14"/>
      <c r="Q450" s="14"/>
    </row>
    <row r="451" customFormat="false" ht="15" hidden="false" customHeight="false" outlineLevel="0" collapsed="false">
      <c r="A451" s="16"/>
      <c r="B451" s="14"/>
      <c r="C451" s="14" t="str">
        <f aca="false">IFERROR(IF($B451="","",INDEX(Inventory!$B$3:$B$253,MATCH($B451,Inventory!$A$3:$A$253,0))),"")</f>
        <v/>
      </c>
      <c r="D451" s="15"/>
      <c r="E451" s="11"/>
      <c r="F451" s="11" t="str">
        <f aca="false">IF($D451="","",$D451*$E451)</f>
        <v/>
      </c>
      <c r="G451" s="11" t="str">
        <f aca="false">IFERROR(IF($B451="","",INDEX(Inventory!$G$3:$G$253,MATCH($B451,Inventory!$A$3:$A$253,0))),"")</f>
        <v/>
      </c>
      <c r="H451" s="11" t="str">
        <f aca="false">IF($D451="","",$D451*IFERROR($G451+0,0))</f>
        <v/>
      </c>
      <c r="I451" s="11"/>
      <c r="J451" s="11"/>
      <c r="K451" s="11" t="str">
        <f aca="false">IF($F451="","",$F451-$I451-$J451)</f>
        <v/>
      </c>
      <c r="L451" s="11" t="str">
        <f aca="false">IF($K451="","",$K451-$H451)</f>
        <v/>
      </c>
      <c r="M451" s="12" t="str">
        <f aca="false">IF(OR($F451="",$F451=0),"",$L451/$F451)</f>
        <v/>
      </c>
      <c r="N451" s="14"/>
      <c r="O451" s="14"/>
      <c r="P451" s="14"/>
      <c r="Q451" s="14"/>
    </row>
    <row r="452" customFormat="false" ht="15" hidden="false" customHeight="false" outlineLevel="0" collapsed="false">
      <c r="A452" s="16"/>
      <c r="B452" s="14"/>
      <c r="C452" s="14" t="str">
        <f aca="false">IFERROR(IF($B452="","",INDEX(Inventory!$B$3:$B$253,MATCH($B452,Inventory!$A$3:$A$253,0))),"")</f>
        <v/>
      </c>
      <c r="D452" s="15"/>
      <c r="E452" s="11"/>
      <c r="F452" s="11" t="str">
        <f aca="false">IF($D452="","",$D452*$E452)</f>
        <v/>
      </c>
      <c r="G452" s="11" t="str">
        <f aca="false">IFERROR(IF($B452="","",INDEX(Inventory!$G$3:$G$253,MATCH($B452,Inventory!$A$3:$A$253,0))),"")</f>
        <v/>
      </c>
      <c r="H452" s="11" t="str">
        <f aca="false">IF($D452="","",$D452*IFERROR($G452+0,0))</f>
        <v/>
      </c>
      <c r="I452" s="11"/>
      <c r="J452" s="11"/>
      <c r="K452" s="11" t="str">
        <f aca="false">IF($F452="","",$F452-$I452-$J452)</f>
        <v/>
      </c>
      <c r="L452" s="11" t="str">
        <f aca="false">IF($K452="","",$K452-$H452)</f>
        <v/>
      </c>
      <c r="M452" s="12" t="str">
        <f aca="false">IF(OR($F452="",$F452=0),"",$L452/$F452)</f>
        <v/>
      </c>
      <c r="N452" s="14"/>
      <c r="O452" s="14"/>
      <c r="P452" s="14"/>
      <c r="Q452" s="14"/>
    </row>
    <row r="453" customFormat="false" ht="15" hidden="false" customHeight="false" outlineLevel="0" collapsed="false">
      <c r="A453" s="16"/>
      <c r="B453" s="14"/>
      <c r="C453" s="14" t="str">
        <f aca="false">IFERROR(IF($B453="","",INDEX(Inventory!$B$3:$B$253,MATCH($B453,Inventory!$A$3:$A$253,0))),"")</f>
        <v/>
      </c>
      <c r="D453" s="15"/>
      <c r="E453" s="11"/>
      <c r="F453" s="11" t="str">
        <f aca="false">IF($D453="","",$D453*$E453)</f>
        <v/>
      </c>
      <c r="G453" s="11" t="str">
        <f aca="false">IFERROR(IF($B453="","",INDEX(Inventory!$G$3:$G$253,MATCH($B453,Inventory!$A$3:$A$253,0))),"")</f>
        <v/>
      </c>
      <c r="H453" s="11" t="str">
        <f aca="false">IF($D453="","",$D453*IFERROR($G453+0,0))</f>
        <v/>
      </c>
      <c r="I453" s="11"/>
      <c r="J453" s="11"/>
      <c r="K453" s="11" t="str">
        <f aca="false">IF($F453="","",$F453-$I453-$J453)</f>
        <v/>
      </c>
      <c r="L453" s="11" t="str">
        <f aca="false">IF($K453="","",$K453-$H453)</f>
        <v/>
      </c>
      <c r="M453" s="12" t="str">
        <f aca="false">IF(OR($F453="",$F453=0),"",$L453/$F453)</f>
        <v/>
      </c>
      <c r="N453" s="14"/>
      <c r="O453" s="14"/>
      <c r="P453" s="14"/>
      <c r="Q453" s="14"/>
    </row>
    <row r="454" customFormat="false" ht="15" hidden="false" customHeight="false" outlineLevel="0" collapsed="false">
      <c r="A454" s="16"/>
      <c r="B454" s="14"/>
      <c r="C454" s="14" t="str">
        <f aca="false">IFERROR(IF($B454="","",INDEX(Inventory!$B$3:$B$253,MATCH($B454,Inventory!$A$3:$A$253,0))),"")</f>
        <v/>
      </c>
      <c r="D454" s="15"/>
      <c r="E454" s="11"/>
      <c r="F454" s="11" t="str">
        <f aca="false">IF($D454="","",$D454*$E454)</f>
        <v/>
      </c>
      <c r="G454" s="11" t="str">
        <f aca="false">IFERROR(IF($B454="","",INDEX(Inventory!$G$3:$G$253,MATCH($B454,Inventory!$A$3:$A$253,0))),"")</f>
        <v/>
      </c>
      <c r="H454" s="11" t="str">
        <f aca="false">IF($D454="","",$D454*IFERROR($G454+0,0))</f>
        <v/>
      </c>
      <c r="I454" s="11"/>
      <c r="J454" s="11"/>
      <c r="K454" s="11" t="str">
        <f aca="false">IF($F454="","",$F454-$I454-$J454)</f>
        <v/>
      </c>
      <c r="L454" s="11" t="str">
        <f aca="false">IF($K454="","",$K454-$H454)</f>
        <v/>
      </c>
      <c r="M454" s="12" t="str">
        <f aca="false">IF(OR($F454="",$F454=0),"",$L454/$F454)</f>
        <v/>
      </c>
      <c r="N454" s="14"/>
      <c r="O454" s="14"/>
      <c r="P454" s="14"/>
      <c r="Q454" s="14"/>
    </row>
    <row r="455" customFormat="false" ht="15" hidden="false" customHeight="false" outlineLevel="0" collapsed="false">
      <c r="A455" s="16"/>
      <c r="B455" s="14"/>
      <c r="C455" s="14" t="str">
        <f aca="false">IFERROR(IF($B455="","",INDEX(Inventory!$B$3:$B$253,MATCH($B455,Inventory!$A$3:$A$253,0))),"")</f>
        <v/>
      </c>
      <c r="D455" s="15"/>
      <c r="E455" s="11"/>
      <c r="F455" s="11" t="str">
        <f aca="false">IF($D455="","",$D455*$E455)</f>
        <v/>
      </c>
      <c r="G455" s="11" t="str">
        <f aca="false">IFERROR(IF($B455="","",INDEX(Inventory!$G$3:$G$253,MATCH($B455,Inventory!$A$3:$A$253,0))),"")</f>
        <v/>
      </c>
      <c r="H455" s="11" t="str">
        <f aca="false">IF($D455="","",$D455*IFERROR($G455+0,0))</f>
        <v/>
      </c>
      <c r="I455" s="11"/>
      <c r="J455" s="11"/>
      <c r="K455" s="11" t="str">
        <f aca="false">IF($F455="","",$F455-$I455-$J455)</f>
        <v/>
      </c>
      <c r="L455" s="11" t="str">
        <f aca="false">IF($K455="","",$K455-$H455)</f>
        <v/>
      </c>
      <c r="M455" s="12" t="str">
        <f aca="false">IF(OR($F455="",$F455=0),"",$L455/$F455)</f>
        <v/>
      </c>
      <c r="N455" s="14"/>
      <c r="O455" s="14"/>
      <c r="P455" s="14"/>
      <c r="Q455" s="14"/>
    </row>
    <row r="456" customFormat="false" ht="15" hidden="false" customHeight="false" outlineLevel="0" collapsed="false">
      <c r="A456" s="16"/>
      <c r="B456" s="14"/>
      <c r="C456" s="14" t="str">
        <f aca="false">IFERROR(IF($B456="","",INDEX(Inventory!$B$3:$B$253,MATCH($B456,Inventory!$A$3:$A$253,0))),"")</f>
        <v/>
      </c>
      <c r="D456" s="15"/>
      <c r="E456" s="11"/>
      <c r="F456" s="11" t="str">
        <f aca="false">IF($D456="","",$D456*$E456)</f>
        <v/>
      </c>
      <c r="G456" s="11" t="str">
        <f aca="false">IFERROR(IF($B456="","",INDEX(Inventory!$G$3:$G$253,MATCH($B456,Inventory!$A$3:$A$253,0))),"")</f>
        <v/>
      </c>
      <c r="H456" s="11" t="str">
        <f aca="false">IF($D456="","",$D456*IFERROR($G456+0,0))</f>
        <v/>
      </c>
      <c r="I456" s="11"/>
      <c r="J456" s="11"/>
      <c r="K456" s="11" t="str">
        <f aca="false">IF($F456="","",$F456-$I456-$J456)</f>
        <v/>
      </c>
      <c r="L456" s="11" t="str">
        <f aca="false">IF($K456="","",$K456-$H456)</f>
        <v/>
      </c>
      <c r="M456" s="12" t="str">
        <f aca="false">IF(OR($F456="",$F456=0),"",$L456/$F456)</f>
        <v/>
      </c>
      <c r="N456" s="14"/>
      <c r="O456" s="14"/>
      <c r="P456" s="14"/>
      <c r="Q456" s="14"/>
    </row>
    <row r="457" customFormat="false" ht="15" hidden="false" customHeight="false" outlineLevel="0" collapsed="false">
      <c r="A457" s="16"/>
      <c r="B457" s="14"/>
      <c r="C457" s="14" t="str">
        <f aca="false">IFERROR(IF($B457="","",INDEX(Inventory!$B$3:$B$253,MATCH($B457,Inventory!$A$3:$A$253,0))),"")</f>
        <v/>
      </c>
      <c r="D457" s="15"/>
      <c r="E457" s="11"/>
      <c r="F457" s="11" t="str">
        <f aca="false">IF($D457="","",$D457*$E457)</f>
        <v/>
      </c>
      <c r="G457" s="11" t="str">
        <f aca="false">IFERROR(IF($B457="","",INDEX(Inventory!$G$3:$G$253,MATCH($B457,Inventory!$A$3:$A$253,0))),"")</f>
        <v/>
      </c>
      <c r="H457" s="11" t="str">
        <f aca="false">IF($D457="","",$D457*IFERROR($G457+0,0))</f>
        <v/>
      </c>
      <c r="I457" s="11"/>
      <c r="J457" s="11"/>
      <c r="K457" s="11" t="str">
        <f aca="false">IF($F457="","",$F457-$I457-$J457)</f>
        <v/>
      </c>
      <c r="L457" s="11" t="str">
        <f aca="false">IF($K457="","",$K457-$H457)</f>
        <v/>
      </c>
      <c r="M457" s="12" t="str">
        <f aca="false">IF(OR($F457="",$F457=0),"",$L457/$F457)</f>
        <v/>
      </c>
      <c r="N457" s="14"/>
      <c r="O457" s="14"/>
      <c r="P457" s="14"/>
      <c r="Q457" s="14"/>
    </row>
    <row r="458" customFormat="false" ht="15" hidden="false" customHeight="false" outlineLevel="0" collapsed="false">
      <c r="A458" s="16"/>
      <c r="B458" s="14"/>
      <c r="C458" s="14" t="str">
        <f aca="false">IFERROR(IF($B458="","",INDEX(Inventory!$B$3:$B$253,MATCH($B458,Inventory!$A$3:$A$253,0))),"")</f>
        <v/>
      </c>
      <c r="D458" s="15"/>
      <c r="E458" s="11"/>
      <c r="F458" s="11" t="str">
        <f aca="false">IF($D458="","",$D458*$E458)</f>
        <v/>
      </c>
      <c r="G458" s="11" t="str">
        <f aca="false">IFERROR(IF($B458="","",INDEX(Inventory!$G$3:$G$253,MATCH($B458,Inventory!$A$3:$A$253,0))),"")</f>
        <v/>
      </c>
      <c r="H458" s="11" t="str">
        <f aca="false">IF($D458="","",$D458*IFERROR($G458+0,0))</f>
        <v/>
      </c>
      <c r="I458" s="11"/>
      <c r="J458" s="11"/>
      <c r="K458" s="11" t="str">
        <f aca="false">IF($F458="","",$F458-$I458-$J458)</f>
        <v/>
      </c>
      <c r="L458" s="11" t="str">
        <f aca="false">IF($K458="","",$K458-$H458)</f>
        <v/>
      </c>
      <c r="M458" s="12" t="str">
        <f aca="false">IF(OR($F458="",$F458=0),"",$L458/$F458)</f>
        <v/>
      </c>
      <c r="N458" s="14"/>
      <c r="O458" s="14"/>
      <c r="P458" s="14"/>
      <c r="Q458" s="14"/>
    </row>
    <row r="459" customFormat="false" ht="15" hidden="false" customHeight="false" outlineLevel="0" collapsed="false">
      <c r="A459" s="16"/>
      <c r="B459" s="14"/>
      <c r="C459" s="14" t="str">
        <f aca="false">IFERROR(IF($B459="","",INDEX(Inventory!$B$3:$B$253,MATCH($B459,Inventory!$A$3:$A$253,0))),"")</f>
        <v/>
      </c>
      <c r="D459" s="15"/>
      <c r="E459" s="11"/>
      <c r="F459" s="11" t="str">
        <f aca="false">IF($D459="","",$D459*$E459)</f>
        <v/>
      </c>
      <c r="G459" s="11" t="str">
        <f aca="false">IFERROR(IF($B459="","",INDEX(Inventory!$G$3:$G$253,MATCH($B459,Inventory!$A$3:$A$253,0))),"")</f>
        <v/>
      </c>
      <c r="H459" s="11" t="str">
        <f aca="false">IF($D459="","",$D459*IFERROR($G459+0,0))</f>
        <v/>
      </c>
      <c r="I459" s="11"/>
      <c r="J459" s="11"/>
      <c r="K459" s="11" t="str">
        <f aca="false">IF($F459="","",$F459-$I459-$J459)</f>
        <v/>
      </c>
      <c r="L459" s="11" t="str">
        <f aca="false">IF($K459="","",$K459-$H459)</f>
        <v/>
      </c>
      <c r="M459" s="12" t="str">
        <f aca="false">IF(OR($F459="",$F459=0),"",$L459/$F459)</f>
        <v/>
      </c>
      <c r="N459" s="14"/>
      <c r="O459" s="14"/>
      <c r="P459" s="14"/>
      <c r="Q459" s="14"/>
    </row>
    <row r="460" customFormat="false" ht="15" hidden="false" customHeight="false" outlineLevel="0" collapsed="false">
      <c r="A460" s="16"/>
      <c r="B460" s="14"/>
      <c r="C460" s="14" t="str">
        <f aca="false">IFERROR(IF($B460="","",INDEX(Inventory!$B$3:$B$253,MATCH($B460,Inventory!$A$3:$A$253,0))),"")</f>
        <v/>
      </c>
      <c r="D460" s="15"/>
      <c r="E460" s="11"/>
      <c r="F460" s="11" t="str">
        <f aca="false">IF($D460="","",$D460*$E460)</f>
        <v/>
      </c>
      <c r="G460" s="11" t="str">
        <f aca="false">IFERROR(IF($B460="","",INDEX(Inventory!$G$3:$G$253,MATCH($B460,Inventory!$A$3:$A$253,0))),"")</f>
        <v/>
      </c>
      <c r="H460" s="11" t="str">
        <f aca="false">IF($D460="","",$D460*IFERROR($G460+0,0))</f>
        <v/>
      </c>
      <c r="I460" s="11"/>
      <c r="J460" s="11"/>
      <c r="K460" s="11" t="str">
        <f aca="false">IF($F460="","",$F460-$I460-$J460)</f>
        <v/>
      </c>
      <c r="L460" s="11" t="str">
        <f aca="false">IF($K460="","",$K460-$H460)</f>
        <v/>
      </c>
      <c r="M460" s="12" t="str">
        <f aca="false">IF(OR($F460="",$F460=0),"",$L460/$F460)</f>
        <v/>
      </c>
      <c r="N460" s="14"/>
      <c r="O460" s="14"/>
      <c r="P460" s="14"/>
      <c r="Q460" s="14"/>
    </row>
    <row r="461" customFormat="false" ht="15" hidden="false" customHeight="false" outlineLevel="0" collapsed="false">
      <c r="A461" s="16"/>
      <c r="B461" s="14"/>
      <c r="C461" s="14" t="str">
        <f aca="false">IFERROR(IF($B461="","",INDEX(Inventory!$B$3:$B$253,MATCH($B461,Inventory!$A$3:$A$253,0))),"")</f>
        <v/>
      </c>
      <c r="D461" s="15"/>
      <c r="E461" s="11"/>
      <c r="F461" s="11" t="str">
        <f aca="false">IF($D461="","",$D461*$E461)</f>
        <v/>
      </c>
      <c r="G461" s="11" t="str">
        <f aca="false">IFERROR(IF($B461="","",INDEX(Inventory!$G$3:$G$253,MATCH($B461,Inventory!$A$3:$A$253,0))),"")</f>
        <v/>
      </c>
      <c r="H461" s="11" t="str">
        <f aca="false">IF($D461="","",$D461*IFERROR($G461+0,0))</f>
        <v/>
      </c>
      <c r="I461" s="11"/>
      <c r="J461" s="11"/>
      <c r="K461" s="11" t="str">
        <f aca="false">IF($F461="","",$F461-$I461-$J461)</f>
        <v/>
      </c>
      <c r="L461" s="11" t="str">
        <f aca="false">IF($K461="","",$K461-$H461)</f>
        <v/>
      </c>
      <c r="M461" s="12" t="str">
        <f aca="false">IF(OR($F461="",$F461=0),"",$L461/$F461)</f>
        <v/>
      </c>
      <c r="N461" s="14"/>
      <c r="O461" s="14"/>
      <c r="P461" s="14"/>
      <c r="Q461" s="14"/>
    </row>
    <row r="462" customFormat="false" ht="15" hidden="false" customHeight="false" outlineLevel="0" collapsed="false">
      <c r="A462" s="16"/>
      <c r="B462" s="14"/>
      <c r="C462" s="14" t="str">
        <f aca="false">IFERROR(IF($B462="","",INDEX(Inventory!$B$3:$B$253,MATCH($B462,Inventory!$A$3:$A$253,0))),"")</f>
        <v/>
      </c>
      <c r="D462" s="15"/>
      <c r="E462" s="11"/>
      <c r="F462" s="11" t="str">
        <f aca="false">IF($D462="","",$D462*$E462)</f>
        <v/>
      </c>
      <c r="G462" s="11" t="str">
        <f aca="false">IFERROR(IF($B462="","",INDEX(Inventory!$G$3:$G$253,MATCH($B462,Inventory!$A$3:$A$253,0))),"")</f>
        <v/>
      </c>
      <c r="H462" s="11" t="str">
        <f aca="false">IF($D462="","",$D462*IFERROR($G462+0,0))</f>
        <v/>
      </c>
      <c r="I462" s="11"/>
      <c r="J462" s="11"/>
      <c r="K462" s="11" t="str">
        <f aca="false">IF($F462="","",$F462-$I462-$J462)</f>
        <v/>
      </c>
      <c r="L462" s="11" t="str">
        <f aca="false">IF($K462="","",$K462-$H462)</f>
        <v/>
      </c>
      <c r="M462" s="12" t="str">
        <f aca="false">IF(OR($F462="",$F462=0),"",$L462/$F462)</f>
        <v/>
      </c>
      <c r="N462" s="14"/>
      <c r="O462" s="14"/>
      <c r="P462" s="14"/>
      <c r="Q462" s="14"/>
    </row>
    <row r="463" customFormat="false" ht="15" hidden="false" customHeight="false" outlineLevel="0" collapsed="false">
      <c r="A463" s="16"/>
      <c r="B463" s="14"/>
      <c r="C463" s="14" t="str">
        <f aca="false">IFERROR(IF($B463="","",INDEX(Inventory!$B$3:$B$253,MATCH($B463,Inventory!$A$3:$A$253,0))),"")</f>
        <v/>
      </c>
      <c r="D463" s="15"/>
      <c r="E463" s="11"/>
      <c r="F463" s="11" t="str">
        <f aca="false">IF($D463="","",$D463*$E463)</f>
        <v/>
      </c>
      <c r="G463" s="11" t="str">
        <f aca="false">IFERROR(IF($B463="","",INDEX(Inventory!$G$3:$G$253,MATCH($B463,Inventory!$A$3:$A$253,0))),"")</f>
        <v/>
      </c>
      <c r="H463" s="11" t="str">
        <f aca="false">IF($D463="","",$D463*IFERROR($G463+0,0))</f>
        <v/>
      </c>
      <c r="I463" s="11"/>
      <c r="J463" s="11"/>
      <c r="K463" s="11" t="str">
        <f aca="false">IF($F463="","",$F463-$I463-$J463)</f>
        <v/>
      </c>
      <c r="L463" s="11" t="str">
        <f aca="false">IF($K463="","",$K463-$H463)</f>
        <v/>
      </c>
      <c r="M463" s="12" t="str">
        <f aca="false">IF(OR($F463="",$F463=0),"",$L463/$F463)</f>
        <v/>
      </c>
      <c r="N463" s="14"/>
      <c r="O463" s="14"/>
      <c r="P463" s="14"/>
      <c r="Q463" s="14"/>
    </row>
    <row r="464" customFormat="false" ht="15" hidden="false" customHeight="false" outlineLevel="0" collapsed="false">
      <c r="A464" s="16"/>
      <c r="B464" s="14"/>
      <c r="C464" s="14" t="str">
        <f aca="false">IFERROR(IF($B464="","",INDEX(Inventory!$B$3:$B$253,MATCH($B464,Inventory!$A$3:$A$253,0))),"")</f>
        <v/>
      </c>
      <c r="D464" s="15"/>
      <c r="E464" s="11"/>
      <c r="F464" s="11" t="str">
        <f aca="false">IF($D464="","",$D464*$E464)</f>
        <v/>
      </c>
      <c r="G464" s="11" t="str">
        <f aca="false">IFERROR(IF($B464="","",INDEX(Inventory!$G$3:$G$253,MATCH($B464,Inventory!$A$3:$A$253,0))),"")</f>
        <v/>
      </c>
      <c r="H464" s="11" t="str">
        <f aca="false">IF($D464="","",$D464*IFERROR($G464+0,0))</f>
        <v/>
      </c>
      <c r="I464" s="11"/>
      <c r="J464" s="11"/>
      <c r="K464" s="11" t="str">
        <f aca="false">IF($F464="","",$F464-$I464-$J464)</f>
        <v/>
      </c>
      <c r="L464" s="11" t="str">
        <f aca="false">IF($K464="","",$K464-$H464)</f>
        <v/>
      </c>
      <c r="M464" s="12" t="str">
        <f aca="false">IF(OR($F464="",$F464=0),"",$L464/$F464)</f>
        <v/>
      </c>
      <c r="N464" s="14"/>
      <c r="O464" s="14"/>
      <c r="P464" s="14"/>
      <c r="Q464" s="14"/>
    </row>
    <row r="465" customFormat="false" ht="15" hidden="false" customHeight="false" outlineLevel="0" collapsed="false">
      <c r="A465" s="16"/>
      <c r="B465" s="14"/>
      <c r="C465" s="14" t="str">
        <f aca="false">IFERROR(IF($B465="","",INDEX(Inventory!$B$3:$B$253,MATCH($B465,Inventory!$A$3:$A$253,0))),"")</f>
        <v/>
      </c>
      <c r="D465" s="15"/>
      <c r="E465" s="11"/>
      <c r="F465" s="11" t="str">
        <f aca="false">IF($D465="","",$D465*$E465)</f>
        <v/>
      </c>
      <c r="G465" s="11" t="str">
        <f aca="false">IFERROR(IF($B465="","",INDEX(Inventory!$G$3:$G$253,MATCH($B465,Inventory!$A$3:$A$253,0))),"")</f>
        <v/>
      </c>
      <c r="H465" s="11" t="str">
        <f aca="false">IF($D465="","",$D465*IFERROR($G465+0,0))</f>
        <v/>
      </c>
      <c r="I465" s="11"/>
      <c r="J465" s="11"/>
      <c r="K465" s="11" t="str">
        <f aca="false">IF($F465="","",$F465-$I465-$J465)</f>
        <v/>
      </c>
      <c r="L465" s="11" t="str">
        <f aca="false">IF($K465="","",$K465-$H465)</f>
        <v/>
      </c>
      <c r="M465" s="12" t="str">
        <f aca="false">IF(OR($F465="",$F465=0),"",$L465/$F465)</f>
        <v/>
      </c>
      <c r="N465" s="14"/>
      <c r="O465" s="14"/>
      <c r="P465" s="14"/>
      <c r="Q465" s="14"/>
    </row>
    <row r="466" customFormat="false" ht="15" hidden="false" customHeight="false" outlineLevel="0" collapsed="false">
      <c r="A466" s="16"/>
      <c r="B466" s="14"/>
      <c r="C466" s="14" t="str">
        <f aca="false">IFERROR(IF($B466="","",INDEX(Inventory!$B$3:$B$253,MATCH($B466,Inventory!$A$3:$A$253,0))),"")</f>
        <v/>
      </c>
      <c r="D466" s="15"/>
      <c r="E466" s="11"/>
      <c r="F466" s="11" t="str">
        <f aca="false">IF($D466="","",$D466*$E466)</f>
        <v/>
      </c>
      <c r="G466" s="11" t="str">
        <f aca="false">IFERROR(IF($B466="","",INDEX(Inventory!$G$3:$G$253,MATCH($B466,Inventory!$A$3:$A$253,0))),"")</f>
        <v/>
      </c>
      <c r="H466" s="11" t="str">
        <f aca="false">IF($D466="","",$D466*IFERROR($G466+0,0))</f>
        <v/>
      </c>
      <c r="I466" s="11"/>
      <c r="J466" s="11"/>
      <c r="K466" s="11" t="str">
        <f aca="false">IF($F466="","",$F466-$I466-$J466)</f>
        <v/>
      </c>
      <c r="L466" s="11" t="str">
        <f aca="false">IF($K466="","",$K466-$H466)</f>
        <v/>
      </c>
      <c r="M466" s="12" t="str">
        <f aca="false">IF(OR($F466="",$F466=0),"",$L466/$F466)</f>
        <v/>
      </c>
      <c r="N466" s="14"/>
      <c r="O466" s="14"/>
      <c r="P466" s="14"/>
      <c r="Q466" s="14"/>
    </row>
    <row r="467" customFormat="false" ht="15" hidden="false" customHeight="false" outlineLevel="0" collapsed="false">
      <c r="A467" s="16"/>
      <c r="B467" s="14"/>
      <c r="C467" s="14" t="str">
        <f aca="false">IFERROR(IF($B467="","",INDEX(Inventory!$B$3:$B$253,MATCH($B467,Inventory!$A$3:$A$253,0))),"")</f>
        <v/>
      </c>
      <c r="D467" s="15"/>
      <c r="E467" s="11"/>
      <c r="F467" s="11" t="str">
        <f aca="false">IF($D467="","",$D467*$E467)</f>
        <v/>
      </c>
      <c r="G467" s="11" t="str">
        <f aca="false">IFERROR(IF($B467="","",INDEX(Inventory!$G$3:$G$253,MATCH($B467,Inventory!$A$3:$A$253,0))),"")</f>
        <v/>
      </c>
      <c r="H467" s="11" t="str">
        <f aca="false">IF($D467="","",$D467*IFERROR($G467+0,0))</f>
        <v/>
      </c>
      <c r="I467" s="11"/>
      <c r="J467" s="11"/>
      <c r="K467" s="11" t="str">
        <f aca="false">IF($F467="","",$F467-$I467-$J467)</f>
        <v/>
      </c>
      <c r="L467" s="11" t="str">
        <f aca="false">IF($K467="","",$K467-$H467)</f>
        <v/>
      </c>
      <c r="M467" s="12" t="str">
        <f aca="false">IF(OR($F467="",$F467=0),"",$L467/$F467)</f>
        <v/>
      </c>
      <c r="N467" s="14"/>
      <c r="O467" s="14"/>
      <c r="P467" s="14"/>
      <c r="Q467" s="14"/>
    </row>
    <row r="468" customFormat="false" ht="15" hidden="false" customHeight="false" outlineLevel="0" collapsed="false">
      <c r="A468" s="16"/>
      <c r="B468" s="14"/>
      <c r="C468" s="14" t="str">
        <f aca="false">IFERROR(IF($B468="","",INDEX(Inventory!$B$3:$B$253,MATCH($B468,Inventory!$A$3:$A$253,0))),"")</f>
        <v/>
      </c>
      <c r="D468" s="15"/>
      <c r="E468" s="11"/>
      <c r="F468" s="11" t="str">
        <f aca="false">IF($D468="","",$D468*$E468)</f>
        <v/>
      </c>
      <c r="G468" s="11" t="str">
        <f aca="false">IFERROR(IF($B468="","",INDEX(Inventory!$G$3:$G$253,MATCH($B468,Inventory!$A$3:$A$253,0))),"")</f>
        <v/>
      </c>
      <c r="H468" s="11" t="str">
        <f aca="false">IF($D468="","",$D468*IFERROR($G468+0,0))</f>
        <v/>
      </c>
      <c r="I468" s="11"/>
      <c r="J468" s="11"/>
      <c r="K468" s="11" t="str">
        <f aca="false">IF($F468="","",$F468-$I468-$J468)</f>
        <v/>
      </c>
      <c r="L468" s="11" t="str">
        <f aca="false">IF($K468="","",$K468-$H468)</f>
        <v/>
      </c>
      <c r="M468" s="12" t="str">
        <f aca="false">IF(OR($F468="",$F468=0),"",$L468/$F468)</f>
        <v/>
      </c>
      <c r="N468" s="14"/>
      <c r="O468" s="14"/>
      <c r="P468" s="14"/>
      <c r="Q468" s="14"/>
    </row>
    <row r="469" customFormat="false" ht="15" hidden="false" customHeight="false" outlineLevel="0" collapsed="false">
      <c r="A469" s="16"/>
      <c r="B469" s="14"/>
      <c r="C469" s="14" t="str">
        <f aca="false">IFERROR(IF($B469="","",INDEX(Inventory!$B$3:$B$253,MATCH($B469,Inventory!$A$3:$A$253,0))),"")</f>
        <v/>
      </c>
      <c r="D469" s="15"/>
      <c r="E469" s="11"/>
      <c r="F469" s="11" t="str">
        <f aca="false">IF($D469="","",$D469*$E469)</f>
        <v/>
      </c>
      <c r="G469" s="11" t="str">
        <f aca="false">IFERROR(IF($B469="","",INDEX(Inventory!$G$3:$G$253,MATCH($B469,Inventory!$A$3:$A$253,0))),"")</f>
        <v/>
      </c>
      <c r="H469" s="11" t="str">
        <f aca="false">IF($D469="","",$D469*IFERROR($G469+0,0))</f>
        <v/>
      </c>
      <c r="I469" s="11"/>
      <c r="J469" s="11"/>
      <c r="K469" s="11" t="str">
        <f aca="false">IF($F469="","",$F469-$I469-$J469)</f>
        <v/>
      </c>
      <c r="L469" s="11" t="str">
        <f aca="false">IF($K469="","",$K469-$H469)</f>
        <v/>
      </c>
      <c r="M469" s="12" t="str">
        <f aca="false">IF(OR($F469="",$F469=0),"",$L469/$F469)</f>
        <v/>
      </c>
      <c r="N469" s="14"/>
      <c r="O469" s="14"/>
      <c r="P469" s="14"/>
      <c r="Q469" s="14"/>
    </row>
    <row r="470" customFormat="false" ht="15" hidden="false" customHeight="false" outlineLevel="0" collapsed="false">
      <c r="A470" s="16"/>
      <c r="B470" s="14"/>
      <c r="C470" s="14" t="str">
        <f aca="false">IFERROR(IF($B470="","",INDEX(Inventory!$B$3:$B$253,MATCH($B470,Inventory!$A$3:$A$253,0))),"")</f>
        <v/>
      </c>
      <c r="D470" s="15"/>
      <c r="E470" s="11"/>
      <c r="F470" s="11" t="str">
        <f aca="false">IF($D470="","",$D470*$E470)</f>
        <v/>
      </c>
      <c r="G470" s="11" t="str">
        <f aca="false">IFERROR(IF($B470="","",INDEX(Inventory!$G$3:$G$253,MATCH($B470,Inventory!$A$3:$A$253,0))),"")</f>
        <v/>
      </c>
      <c r="H470" s="11" t="str">
        <f aca="false">IF($D470="","",$D470*IFERROR($G470+0,0))</f>
        <v/>
      </c>
      <c r="I470" s="11"/>
      <c r="J470" s="11"/>
      <c r="K470" s="11" t="str">
        <f aca="false">IF($F470="","",$F470-$I470-$J470)</f>
        <v/>
      </c>
      <c r="L470" s="11" t="str">
        <f aca="false">IF($K470="","",$K470-$H470)</f>
        <v/>
      </c>
      <c r="M470" s="12" t="str">
        <f aca="false">IF(OR($F470="",$F470=0),"",$L470/$F470)</f>
        <v/>
      </c>
      <c r="N470" s="14"/>
      <c r="O470" s="14"/>
      <c r="P470" s="14"/>
      <c r="Q470" s="14"/>
    </row>
    <row r="471" customFormat="false" ht="15" hidden="false" customHeight="false" outlineLevel="0" collapsed="false">
      <c r="A471" s="16"/>
      <c r="B471" s="14"/>
      <c r="C471" s="14" t="str">
        <f aca="false">IFERROR(IF($B471="","",INDEX(Inventory!$B$3:$B$253,MATCH($B471,Inventory!$A$3:$A$253,0))),"")</f>
        <v/>
      </c>
      <c r="D471" s="15"/>
      <c r="E471" s="11"/>
      <c r="F471" s="11" t="str">
        <f aca="false">IF($D471="","",$D471*$E471)</f>
        <v/>
      </c>
      <c r="G471" s="11" t="str">
        <f aca="false">IFERROR(IF($B471="","",INDEX(Inventory!$G$3:$G$253,MATCH($B471,Inventory!$A$3:$A$253,0))),"")</f>
        <v/>
      </c>
      <c r="H471" s="11" t="str">
        <f aca="false">IF($D471="","",$D471*IFERROR($G471+0,0))</f>
        <v/>
      </c>
      <c r="I471" s="11"/>
      <c r="J471" s="11"/>
      <c r="K471" s="11" t="str">
        <f aca="false">IF($F471="","",$F471-$I471-$J471)</f>
        <v/>
      </c>
      <c r="L471" s="11" t="str">
        <f aca="false">IF($K471="","",$K471-$H471)</f>
        <v/>
      </c>
      <c r="M471" s="12" t="str">
        <f aca="false">IF(OR($F471="",$F471=0),"",$L471/$F471)</f>
        <v/>
      </c>
      <c r="N471" s="14"/>
      <c r="O471" s="14"/>
      <c r="P471" s="14"/>
      <c r="Q471" s="14"/>
    </row>
    <row r="472" customFormat="false" ht="15" hidden="false" customHeight="false" outlineLevel="0" collapsed="false">
      <c r="A472" s="16"/>
      <c r="B472" s="14"/>
      <c r="C472" s="14" t="str">
        <f aca="false">IFERROR(IF($B472="","",INDEX(Inventory!$B$3:$B$253,MATCH($B472,Inventory!$A$3:$A$253,0))),"")</f>
        <v/>
      </c>
      <c r="D472" s="15"/>
      <c r="E472" s="11"/>
      <c r="F472" s="11" t="str">
        <f aca="false">IF($D472="","",$D472*$E472)</f>
        <v/>
      </c>
      <c r="G472" s="11" t="str">
        <f aca="false">IFERROR(IF($B472="","",INDEX(Inventory!$G$3:$G$253,MATCH($B472,Inventory!$A$3:$A$253,0))),"")</f>
        <v/>
      </c>
      <c r="H472" s="11" t="str">
        <f aca="false">IF($D472="","",$D472*IFERROR($G472+0,0))</f>
        <v/>
      </c>
      <c r="I472" s="11"/>
      <c r="J472" s="11"/>
      <c r="K472" s="11" t="str">
        <f aca="false">IF($F472="","",$F472-$I472-$J472)</f>
        <v/>
      </c>
      <c r="L472" s="11" t="str">
        <f aca="false">IF($K472="","",$K472-$H472)</f>
        <v/>
      </c>
      <c r="M472" s="12" t="str">
        <f aca="false">IF(OR($F472="",$F472=0),"",$L472/$F472)</f>
        <v/>
      </c>
      <c r="N472" s="14"/>
      <c r="O472" s="14"/>
      <c r="P472" s="14"/>
      <c r="Q472" s="14"/>
    </row>
    <row r="473" customFormat="false" ht="15" hidden="false" customHeight="false" outlineLevel="0" collapsed="false">
      <c r="A473" s="16"/>
      <c r="B473" s="14"/>
      <c r="C473" s="14" t="str">
        <f aca="false">IFERROR(IF($B473="","",INDEX(Inventory!$B$3:$B$253,MATCH($B473,Inventory!$A$3:$A$253,0))),"")</f>
        <v/>
      </c>
      <c r="D473" s="15"/>
      <c r="E473" s="11"/>
      <c r="F473" s="11" t="str">
        <f aca="false">IF($D473="","",$D473*$E473)</f>
        <v/>
      </c>
      <c r="G473" s="11" t="str">
        <f aca="false">IFERROR(IF($B473="","",INDEX(Inventory!$G$3:$G$253,MATCH($B473,Inventory!$A$3:$A$253,0))),"")</f>
        <v/>
      </c>
      <c r="H473" s="11" t="str">
        <f aca="false">IF($D473="","",$D473*IFERROR($G473+0,0))</f>
        <v/>
      </c>
      <c r="I473" s="11"/>
      <c r="J473" s="11"/>
      <c r="K473" s="11" t="str">
        <f aca="false">IF($F473="","",$F473-$I473-$J473)</f>
        <v/>
      </c>
      <c r="L473" s="11" t="str">
        <f aca="false">IF($K473="","",$K473-$H473)</f>
        <v/>
      </c>
      <c r="M473" s="12" t="str">
        <f aca="false">IF(OR($F473="",$F473=0),"",$L473/$F473)</f>
        <v/>
      </c>
      <c r="N473" s="14"/>
      <c r="O473" s="14"/>
      <c r="P473" s="14"/>
      <c r="Q473" s="14"/>
    </row>
    <row r="474" customFormat="false" ht="15" hidden="false" customHeight="false" outlineLevel="0" collapsed="false">
      <c r="A474" s="16"/>
      <c r="B474" s="14"/>
      <c r="C474" s="14" t="str">
        <f aca="false">IFERROR(IF($B474="","",INDEX(Inventory!$B$3:$B$253,MATCH($B474,Inventory!$A$3:$A$253,0))),"")</f>
        <v/>
      </c>
      <c r="D474" s="15"/>
      <c r="E474" s="11"/>
      <c r="F474" s="11" t="str">
        <f aca="false">IF($D474="","",$D474*$E474)</f>
        <v/>
      </c>
      <c r="G474" s="11" t="str">
        <f aca="false">IFERROR(IF($B474="","",INDEX(Inventory!$G$3:$G$253,MATCH($B474,Inventory!$A$3:$A$253,0))),"")</f>
        <v/>
      </c>
      <c r="H474" s="11" t="str">
        <f aca="false">IF($D474="","",$D474*IFERROR($G474+0,0))</f>
        <v/>
      </c>
      <c r="I474" s="11"/>
      <c r="J474" s="11"/>
      <c r="K474" s="11" t="str">
        <f aca="false">IF($F474="","",$F474-$I474-$J474)</f>
        <v/>
      </c>
      <c r="L474" s="11" t="str">
        <f aca="false">IF($K474="","",$K474-$H474)</f>
        <v/>
      </c>
      <c r="M474" s="12" t="str">
        <f aca="false">IF(OR($F474="",$F474=0),"",$L474/$F474)</f>
        <v/>
      </c>
      <c r="N474" s="14"/>
      <c r="O474" s="14"/>
      <c r="P474" s="14"/>
      <c r="Q474" s="14"/>
    </row>
    <row r="475" customFormat="false" ht="15" hidden="false" customHeight="false" outlineLevel="0" collapsed="false">
      <c r="A475" s="16"/>
      <c r="B475" s="14"/>
      <c r="C475" s="14" t="str">
        <f aca="false">IFERROR(IF($B475="","",INDEX(Inventory!$B$3:$B$253,MATCH($B475,Inventory!$A$3:$A$253,0))),"")</f>
        <v/>
      </c>
      <c r="D475" s="15"/>
      <c r="E475" s="11"/>
      <c r="F475" s="11" t="str">
        <f aca="false">IF($D475="","",$D475*$E475)</f>
        <v/>
      </c>
      <c r="G475" s="11" t="str">
        <f aca="false">IFERROR(IF($B475="","",INDEX(Inventory!$G$3:$G$253,MATCH($B475,Inventory!$A$3:$A$253,0))),"")</f>
        <v/>
      </c>
      <c r="H475" s="11" t="str">
        <f aca="false">IF($D475="","",$D475*IFERROR($G475+0,0))</f>
        <v/>
      </c>
      <c r="I475" s="11"/>
      <c r="J475" s="11"/>
      <c r="K475" s="11" t="str">
        <f aca="false">IF($F475="","",$F475-$I475-$J475)</f>
        <v/>
      </c>
      <c r="L475" s="11" t="str">
        <f aca="false">IF($K475="","",$K475-$H475)</f>
        <v/>
      </c>
      <c r="M475" s="12" t="str">
        <f aca="false">IF(OR($F475="",$F475=0),"",$L475/$F475)</f>
        <v/>
      </c>
      <c r="N475" s="14"/>
      <c r="O475" s="14"/>
      <c r="P475" s="14"/>
      <c r="Q475" s="14"/>
    </row>
    <row r="476" customFormat="false" ht="15" hidden="false" customHeight="false" outlineLevel="0" collapsed="false">
      <c r="A476" s="16"/>
      <c r="B476" s="14"/>
      <c r="C476" s="14" t="str">
        <f aca="false">IFERROR(IF($B476="","",INDEX(Inventory!$B$3:$B$253,MATCH($B476,Inventory!$A$3:$A$253,0))),"")</f>
        <v/>
      </c>
      <c r="D476" s="15"/>
      <c r="E476" s="11"/>
      <c r="F476" s="11" t="str">
        <f aca="false">IF($D476="","",$D476*$E476)</f>
        <v/>
      </c>
      <c r="G476" s="11" t="str">
        <f aca="false">IFERROR(IF($B476="","",INDEX(Inventory!$G$3:$G$253,MATCH($B476,Inventory!$A$3:$A$253,0))),"")</f>
        <v/>
      </c>
      <c r="H476" s="11" t="str">
        <f aca="false">IF($D476="","",$D476*IFERROR($G476+0,0))</f>
        <v/>
      </c>
      <c r="I476" s="11"/>
      <c r="J476" s="11"/>
      <c r="K476" s="11" t="str">
        <f aca="false">IF($F476="","",$F476-$I476-$J476)</f>
        <v/>
      </c>
      <c r="L476" s="11" t="str">
        <f aca="false">IF($K476="","",$K476-$H476)</f>
        <v/>
      </c>
      <c r="M476" s="12" t="str">
        <f aca="false">IF(OR($F476="",$F476=0),"",$L476/$F476)</f>
        <v/>
      </c>
      <c r="N476" s="14"/>
      <c r="O476" s="14"/>
      <c r="P476" s="14"/>
      <c r="Q476" s="14"/>
    </row>
    <row r="477" customFormat="false" ht="15" hidden="false" customHeight="false" outlineLevel="0" collapsed="false">
      <c r="A477" s="16"/>
      <c r="B477" s="14"/>
      <c r="C477" s="14" t="str">
        <f aca="false">IFERROR(IF($B477="","",INDEX(Inventory!$B$3:$B$253,MATCH($B477,Inventory!$A$3:$A$253,0))),"")</f>
        <v/>
      </c>
      <c r="D477" s="15"/>
      <c r="E477" s="11"/>
      <c r="F477" s="11" t="str">
        <f aca="false">IF($D477="","",$D477*$E477)</f>
        <v/>
      </c>
      <c r="G477" s="11" t="str">
        <f aca="false">IFERROR(IF($B477="","",INDEX(Inventory!$G$3:$G$253,MATCH($B477,Inventory!$A$3:$A$253,0))),"")</f>
        <v/>
      </c>
      <c r="H477" s="11" t="str">
        <f aca="false">IF($D477="","",$D477*IFERROR($G477+0,0))</f>
        <v/>
      </c>
      <c r="I477" s="11"/>
      <c r="J477" s="11"/>
      <c r="K477" s="11" t="str">
        <f aca="false">IF($F477="","",$F477-$I477-$J477)</f>
        <v/>
      </c>
      <c r="L477" s="11" t="str">
        <f aca="false">IF($K477="","",$K477-$H477)</f>
        <v/>
      </c>
      <c r="M477" s="12" t="str">
        <f aca="false">IF(OR($F477="",$F477=0),"",$L477/$F477)</f>
        <v/>
      </c>
      <c r="N477" s="14"/>
      <c r="O477" s="14"/>
      <c r="P477" s="14"/>
      <c r="Q477" s="14"/>
    </row>
    <row r="478" customFormat="false" ht="15" hidden="false" customHeight="false" outlineLevel="0" collapsed="false">
      <c r="A478" s="16"/>
      <c r="B478" s="14"/>
      <c r="C478" s="14" t="str">
        <f aca="false">IFERROR(IF($B478="","",INDEX(Inventory!$B$3:$B$253,MATCH($B478,Inventory!$A$3:$A$253,0))),"")</f>
        <v/>
      </c>
      <c r="D478" s="15"/>
      <c r="E478" s="11"/>
      <c r="F478" s="11" t="str">
        <f aca="false">IF($D478="","",$D478*$E478)</f>
        <v/>
      </c>
      <c r="G478" s="11" t="str">
        <f aca="false">IFERROR(IF($B478="","",INDEX(Inventory!$G$3:$G$253,MATCH($B478,Inventory!$A$3:$A$253,0))),"")</f>
        <v/>
      </c>
      <c r="H478" s="11" t="str">
        <f aca="false">IF($D478="","",$D478*IFERROR($G478+0,0))</f>
        <v/>
      </c>
      <c r="I478" s="11"/>
      <c r="J478" s="11"/>
      <c r="K478" s="11" t="str">
        <f aca="false">IF($F478="","",$F478-$I478-$J478)</f>
        <v/>
      </c>
      <c r="L478" s="11" t="str">
        <f aca="false">IF($K478="","",$K478-$H478)</f>
        <v/>
      </c>
      <c r="M478" s="12" t="str">
        <f aca="false">IF(OR($F478="",$F478=0),"",$L478/$F478)</f>
        <v/>
      </c>
      <c r="N478" s="14"/>
      <c r="O478" s="14"/>
      <c r="P478" s="14"/>
      <c r="Q478" s="14"/>
    </row>
    <row r="479" customFormat="false" ht="15" hidden="false" customHeight="false" outlineLevel="0" collapsed="false">
      <c r="A479" s="16"/>
      <c r="B479" s="14"/>
      <c r="C479" s="14" t="str">
        <f aca="false">IFERROR(IF($B479="","",INDEX(Inventory!$B$3:$B$253,MATCH($B479,Inventory!$A$3:$A$253,0))),"")</f>
        <v/>
      </c>
      <c r="D479" s="15"/>
      <c r="E479" s="11"/>
      <c r="F479" s="11" t="str">
        <f aca="false">IF($D479="","",$D479*$E479)</f>
        <v/>
      </c>
      <c r="G479" s="11" t="str">
        <f aca="false">IFERROR(IF($B479="","",INDEX(Inventory!$G$3:$G$253,MATCH($B479,Inventory!$A$3:$A$253,0))),"")</f>
        <v/>
      </c>
      <c r="H479" s="11" t="str">
        <f aca="false">IF($D479="","",$D479*IFERROR($G479+0,0))</f>
        <v/>
      </c>
      <c r="I479" s="11"/>
      <c r="J479" s="11"/>
      <c r="K479" s="11" t="str">
        <f aca="false">IF($F479="","",$F479-$I479-$J479)</f>
        <v/>
      </c>
      <c r="L479" s="11" t="str">
        <f aca="false">IF($K479="","",$K479-$H479)</f>
        <v/>
      </c>
      <c r="M479" s="12" t="str">
        <f aca="false">IF(OR($F479="",$F479=0),"",$L479/$F479)</f>
        <v/>
      </c>
      <c r="N479" s="14"/>
      <c r="O479" s="14"/>
      <c r="P479" s="14"/>
      <c r="Q479" s="14"/>
    </row>
    <row r="480" customFormat="false" ht="15" hidden="false" customHeight="false" outlineLevel="0" collapsed="false">
      <c r="A480" s="16"/>
      <c r="B480" s="14"/>
      <c r="C480" s="14" t="str">
        <f aca="false">IFERROR(IF($B480="","",INDEX(Inventory!$B$3:$B$253,MATCH($B480,Inventory!$A$3:$A$253,0))),"")</f>
        <v/>
      </c>
      <c r="D480" s="15"/>
      <c r="E480" s="11"/>
      <c r="F480" s="11" t="str">
        <f aca="false">IF($D480="","",$D480*$E480)</f>
        <v/>
      </c>
      <c r="G480" s="11" t="str">
        <f aca="false">IFERROR(IF($B480="","",INDEX(Inventory!$G$3:$G$253,MATCH($B480,Inventory!$A$3:$A$253,0))),"")</f>
        <v/>
      </c>
      <c r="H480" s="11" t="str">
        <f aca="false">IF($D480="","",$D480*IFERROR($G480+0,0))</f>
        <v/>
      </c>
      <c r="I480" s="11"/>
      <c r="J480" s="11"/>
      <c r="K480" s="11" t="str">
        <f aca="false">IF($F480="","",$F480-$I480-$J480)</f>
        <v/>
      </c>
      <c r="L480" s="11" t="str">
        <f aca="false">IF($K480="","",$K480-$H480)</f>
        <v/>
      </c>
      <c r="M480" s="12" t="str">
        <f aca="false">IF(OR($F480="",$F480=0),"",$L480/$F480)</f>
        <v/>
      </c>
      <c r="N480" s="14"/>
      <c r="O480" s="14"/>
      <c r="P480" s="14"/>
      <c r="Q480" s="14"/>
    </row>
    <row r="481" customFormat="false" ht="15" hidden="false" customHeight="false" outlineLevel="0" collapsed="false">
      <c r="A481" s="16"/>
      <c r="B481" s="14"/>
      <c r="C481" s="14" t="str">
        <f aca="false">IFERROR(IF($B481="","",INDEX(Inventory!$B$3:$B$253,MATCH($B481,Inventory!$A$3:$A$253,0))),"")</f>
        <v/>
      </c>
      <c r="D481" s="15"/>
      <c r="E481" s="11"/>
      <c r="F481" s="11" t="str">
        <f aca="false">IF($D481="","",$D481*$E481)</f>
        <v/>
      </c>
      <c r="G481" s="11" t="str">
        <f aca="false">IFERROR(IF($B481="","",INDEX(Inventory!$G$3:$G$253,MATCH($B481,Inventory!$A$3:$A$253,0))),"")</f>
        <v/>
      </c>
      <c r="H481" s="11" t="str">
        <f aca="false">IF($D481="","",$D481*IFERROR($G481+0,0))</f>
        <v/>
      </c>
      <c r="I481" s="11"/>
      <c r="J481" s="11"/>
      <c r="K481" s="11" t="str">
        <f aca="false">IF($F481="","",$F481-$I481-$J481)</f>
        <v/>
      </c>
      <c r="L481" s="11" t="str">
        <f aca="false">IF($K481="","",$K481-$H481)</f>
        <v/>
      </c>
      <c r="M481" s="12" t="str">
        <f aca="false">IF(OR($F481="",$F481=0),"",$L481/$F481)</f>
        <v/>
      </c>
      <c r="N481" s="14"/>
      <c r="O481" s="14"/>
      <c r="P481" s="14"/>
      <c r="Q481" s="14"/>
    </row>
    <row r="482" customFormat="false" ht="15" hidden="false" customHeight="false" outlineLevel="0" collapsed="false">
      <c r="A482" s="16"/>
      <c r="B482" s="14"/>
      <c r="C482" s="14" t="str">
        <f aca="false">IFERROR(IF($B482="","",INDEX(Inventory!$B$3:$B$253,MATCH($B482,Inventory!$A$3:$A$253,0))),"")</f>
        <v/>
      </c>
      <c r="D482" s="15"/>
      <c r="E482" s="11"/>
      <c r="F482" s="11" t="str">
        <f aca="false">IF($D482="","",$D482*$E482)</f>
        <v/>
      </c>
      <c r="G482" s="11" t="str">
        <f aca="false">IFERROR(IF($B482="","",INDEX(Inventory!$G$3:$G$253,MATCH($B482,Inventory!$A$3:$A$253,0))),"")</f>
        <v/>
      </c>
      <c r="H482" s="11" t="str">
        <f aca="false">IF($D482="","",$D482*IFERROR($G482+0,0))</f>
        <v/>
      </c>
      <c r="I482" s="11"/>
      <c r="J482" s="11"/>
      <c r="K482" s="11" t="str">
        <f aca="false">IF($F482="","",$F482-$I482-$J482)</f>
        <v/>
      </c>
      <c r="L482" s="11" t="str">
        <f aca="false">IF($K482="","",$K482-$H482)</f>
        <v/>
      </c>
      <c r="M482" s="12" t="str">
        <f aca="false">IF(OR($F482="",$F482=0),"",$L482/$F482)</f>
        <v/>
      </c>
      <c r="N482" s="14"/>
      <c r="O482" s="14"/>
      <c r="P482" s="14"/>
      <c r="Q482" s="14"/>
    </row>
    <row r="483" customFormat="false" ht="15" hidden="false" customHeight="false" outlineLevel="0" collapsed="false">
      <c r="A483" s="16"/>
      <c r="B483" s="14"/>
      <c r="C483" s="14" t="str">
        <f aca="false">IFERROR(IF($B483="","",INDEX(Inventory!$B$3:$B$253,MATCH($B483,Inventory!$A$3:$A$253,0))),"")</f>
        <v/>
      </c>
      <c r="D483" s="15"/>
      <c r="E483" s="11"/>
      <c r="F483" s="11" t="str">
        <f aca="false">IF($D483="","",$D483*$E483)</f>
        <v/>
      </c>
      <c r="G483" s="11" t="str">
        <f aca="false">IFERROR(IF($B483="","",INDEX(Inventory!$G$3:$G$253,MATCH($B483,Inventory!$A$3:$A$253,0))),"")</f>
        <v/>
      </c>
      <c r="H483" s="11" t="str">
        <f aca="false">IF($D483="","",$D483*IFERROR($G483+0,0))</f>
        <v/>
      </c>
      <c r="I483" s="11"/>
      <c r="J483" s="11"/>
      <c r="K483" s="11" t="str">
        <f aca="false">IF($F483="","",$F483-$I483-$J483)</f>
        <v/>
      </c>
      <c r="L483" s="11" t="str">
        <f aca="false">IF($K483="","",$K483-$H483)</f>
        <v/>
      </c>
      <c r="M483" s="12" t="str">
        <f aca="false">IF(OR($F483="",$F483=0),"",$L483/$F483)</f>
        <v/>
      </c>
      <c r="N483" s="14"/>
      <c r="O483" s="14"/>
      <c r="P483" s="14"/>
      <c r="Q483" s="14"/>
    </row>
    <row r="484" customFormat="false" ht="15" hidden="false" customHeight="false" outlineLevel="0" collapsed="false">
      <c r="A484" s="16"/>
      <c r="B484" s="14"/>
      <c r="C484" s="14" t="str">
        <f aca="false">IFERROR(IF($B484="","",INDEX(Inventory!$B$3:$B$253,MATCH($B484,Inventory!$A$3:$A$253,0))),"")</f>
        <v/>
      </c>
      <c r="D484" s="15"/>
      <c r="E484" s="11"/>
      <c r="F484" s="11" t="str">
        <f aca="false">IF($D484="","",$D484*$E484)</f>
        <v/>
      </c>
      <c r="G484" s="11" t="str">
        <f aca="false">IFERROR(IF($B484="","",INDEX(Inventory!$G$3:$G$253,MATCH($B484,Inventory!$A$3:$A$253,0))),"")</f>
        <v/>
      </c>
      <c r="H484" s="11" t="str">
        <f aca="false">IF($D484="","",$D484*IFERROR($G484+0,0))</f>
        <v/>
      </c>
      <c r="I484" s="11"/>
      <c r="J484" s="11"/>
      <c r="K484" s="11" t="str">
        <f aca="false">IF($F484="","",$F484-$I484-$J484)</f>
        <v/>
      </c>
      <c r="L484" s="11" t="str">
        <f aca="false">IF($K484="","",$K484-$H484)</f>
        <v/>
      </c>
      <c r="M484" s="12" t="str">
        <f aca="false">IF(OR($F484="",$F484=0),"",$L484/$F484)</f>
        <v/>
      </c>
      <c r="N484" s="14"/>
      <c r="O484" s="14"/>
      <c r="P484" s="14"/>
      <c r="Q484" s="14"/>
    </row>
    <row r="485" customFormat="false" ht="15" hidden="false" customHeight="false" outlineLevel="0" collapsed="false">
      <c r="A485" s="16"/>
      <c r="B485" s="14"/>
      <c r="C485" s="14" t="str">
        <f aca="false">IFERROR(IF($B485="","",INDEX(Inventory!$B$3:$B$253,MATCH($B485,Inventory!$A$3:$A$253,0))),"")</f>
        <v/>
      </c>
      <c r="D485" s="15"/>
      <c r="E485" s="11"/>
      <c r="F485" s="11" t="str">
        <f aca="false">IF($D485="","",$D485*$E485)</f>
        <v/>
      </c>
      <c r="G485" s="11" t="str">
        <f aca="false">IFERROR(IF($B485="","",INDEX(Inventory!$G$3:$G$253,MATCH($B485,Inventory!$A$3:$A$253,0))),"")</f>
        <v/>
      </c>
      <c r="H485" s="11" t="str">
        <f aca="false">IF($D485="","",$D485*IFERROR($G485+0,0))</f>
        <v/>
      </c>
      <c r="I485" s="11"/>
      <c r="J485" s="11"/>
      <c r="K485" s="11" t="str">
        <f aca="false">IF($F485="","",$F485-$I485-$J485)</f>
        <v/>
      </c>
      <c r="L485" s="11" t="str">
        <f aca="false">IF($K485="","",$K485-$H485)</f>
        <v/>
      </c>
      <c r="M485" s="12" t="str">
        <f aca="false">IF(OR($F485="",$F485=0),"",$L485/$F485)</f>
        <v/>
      </c>
      <c r="N485" s="14"/>
      <c r="O485" s="14"/>
      <c r="P485" s="14"/>
      <c r="Q485" s="14"/>
    </row>
    <row r="486" customFormat="false" ht="15" hidden="false" customHeight="false" outlineLevel="0" collapsed="false">
      <c r="A486" s="16"/>
      <c r="B486" s="14"/>
      <c r="C486" s="14" t="str">
        <f aca="false">IFERROR(IF($B486="","",INDEX(Inventory!$B$3:$B$253,MATCH($B486,Inventory!$A$3:$A$253,0))),"")</f>
        <v/>
      </c>
      <c r="D486" s="15"/>
      <c r="E486" s="11"/>
      <c r="F486" s="11" t="str">
        <f aca="false">IF($D486="","",$D486*$E486)</f>
        <v/>
      </c>
      <c r="G486" s="11" t="str">
        <f aca="false">IFERROR(IF($B486="","",INDEX(Inventory!$G$3:$G$253,MATCH($B486,Inventory!$A$3:$A$253,0))),"")</f>
        <v/>
      </c>
      <c r="H486" s="11" t="str">
        <f aca="false">IF($D486="","",$D486*IFERROR($G486+0,0))</f>
        <v/>
      </c>
      <c r="I486" s="11"/>
      <c r="J486" s="11"/>
      <c r="K486" s="11" t="str">
        <f aca="false">IF($F486="","",$F486-$I486-$J486)</f>
        <v/>
      </c>
      <c r="L486" s="11" t="str">
        <f aca="false">IF($K486="","",$K486-$H486)</f>
        <v/>
      </c>
      <c r="M486" s="12" t="str">
        <f aca="false">IF(OR($F486="",$F486=0),"",$L486/$F486)</f>
        <v/>
      </c>
      <c r="N486" s="14"/>
      <c r="O486" s="14"/>
      <c r="P486" s="14"/>
      <c r="Q486" s="14"/>
    </row>
    <row r="487" customFormat="false" ht="15" hidden="false" customHeight="false" outlineLevel="0" collapsed="false">
      <c r="A487" s="16"/>
      <c r="B487" s="14"/>
      <c r="C487" s="14" t="str">
        <f aca="false">IFERROR(IF($B487="","",INDEX(Inventory!$B$3:$B$253,MATCH($B487,Inventory!$A$3:$A$253,0))),"")</f>
        <v/>
      </c>
      <c r="D487" s="15"/>
      <c r="E487" s="11"/>
      <c r="F487" s="11" t="str">
        <f aca="false">IF($D487="","",$D487*$E487)</f>
        <v/>
      </c>
      <c r="G487" s="11" t="str">
        <f aca="false">IFERROR(IF($B487="","",INDEX(Inventory!$G$3:$G$253,MATCH($B487,Inventory!$A$3:$A$253,0))),"")</f>
        <v/>
      </c>
      <c r="H487" s="11" t="str">
        <f aca="false">IF($D487="","",$D487*IFERROR($G487+0,0))</f>
        <v/>
      </c>
      <c r="I487" s="11"/>
      <c r="J487" s="11"/>
      <c r="K487" s="11" t="str">
        <f aca="false">IF($F487="","",$F487-$I487-$J487)</f>
        <v/>
      </c>
      <c r="L487" s="11" t="str">
        <f aca="false">IF($K487="","",$K487-$H487)</f>
        <v/>
      </c>
      <c r="M487" s="12" t="str">
        <f aca="false">IF(OR($F487="",$F487=0),"",$L487/$F487)</f>
        <v/>
      </c>
      <c r="N487" s="14"/>
      <c r="O487" s="14"/>
      <c r="P487" s="14"/>
      <c r="Q487" s="14"/>
    </row>
    <row r="488" customFormat="false" ht="15" hidden="false" customHeight="false" outlineLevel="0" collapsed="false">
      <c r="A488" s="16"/>
      <c r="B488" s="14"/>
      <c r="C488" s="14" t="str">
        <f aca="false">IFERROR(IF($B488="","",INDEX(Inventory!$B$3:$B$253,MATCH($B488,Inventory!$A$3:$A$253,0))),"")</f>
        <v/>
      </c>
      <c r="D488" s="15"/>
      <c r="E488" s="11"/>
      <c r="F488" s="11" t="str">
        <f aca="false">IF($D488="","",$D488*$E488)</f>
        <v/>
      </c>
      <c r="G488" s="11" t="str">
        <f aca="false">IFERROR(IF($B488="","",INDEX(Inventory!$G$3:$G$253,MATCH($B488,Inventory!$A$3:$A$253,0))),"")</f>
        <v/>
      </c>
      <c r="H488" s="11" t="str">
        <f aca="false">IF($D488="","",$D488*IFERROR($G488+0,0))</f>
        <v/>
      </c>
      <c r="I488" s="11"/>
      <c r="J488" s="11"/>
      <c r="K488" s="11" t="str">
        <f aca="false">IF($F488="","",$F488-$I488-$J488)</f>
        <v/>
      </c>
      <c r="L488" s="11" t="str">
        <f aca="false">IF($K488="","",$K488-$H488)</f>
        <v/>
      </c>
      <c r="M488" s="12" t="str">
        <f aca="false">IF(OR($F488="",$F488=0),"",$L488/$F488)</f>
        <v/>
      </c>
      <c r="N488" s="14"/>
      <c r="O488" s="14"/>
      <c r="P488" s="14"/>
      <c r="Q488" s="14"/>
    </row>
    <row r="489" customFormat="false" ht="15" hidden="false" customHeight="false" outlineLevel="0" collapsed="false">
      <c r="A489" s="16"/>
      <c r="B489" s="14"/>
      <c r="C489" s="14" t="str">
        <f aca="false">IFERROR(IF($B489="","",INDEX(Inventory!$B$3:$B$253,MATCH($B489,Inventory!$A$3:$A$253,0))),"")</f>
        <v/>
      </c>
      <c r="D489" s="15"/>
      <c r="E489" s="11"/>
      <c r="F489" s="11" t="str">
        <f aca="false">IF($D489="","",$D489*$E489)</f>
        <v/>
      </c>
      <c r="G489" s="11" t="str">
        <f aca="false">IFERROR(IF($B489="","",INDEX(Inventory!$G$3:$G$253,MATCH($B489,Inventory!$A$3:$A$253,0))),"")</f>
        <v/>
      </c>
      <c r="H489" s="11" t="str">
        <f aca="false">IF($D489="","",$D489*IFERROR($G489+0,0))</f>
        <v/>
      </c>
      <c r="I489" s="11"/>
      <c r="J489" s="11"/>
      <c r="K489" s="11" t="str">
        <f aca="false">IF($F489="","",$F489-$I489-$J489)</f>
        <v/>
      </c>
      <c r="L489" s="11" t="str">
        <f aca="false">IF($K489="","",$K489-$H489)</f>
        <v/>
      </c>
      <c r="M489" s="12" t="str">
        <f aca="false">IF(OR($F489="",$F489=0),"",$L489/$F489)</f>
        <v/>
      </c>
      <c r="N489" s="14"/>
      <c r="O489" s="14"/>
      <c r="P489" s="14"/>
      <c r="Q489" s="14"/>
    </row>
    <row r="490" customFormat="false" ht="15" hidden="false" customHeight="false" outlineLevel="0" collapsed="false">
      <c r="A490" s="16"/>
      <c r="B490" s="14"/>
      <c r="C490" s="14" t="str">
        <f aca="false">IFERROR(IF($B490="","",INDEX(Inventory!$B$3:$B$253,MATCH($B490,Inventory!$A$3:$A$253,0))),"")</f>
        <v/>
      </c>
      <c r="D490" s="15"/>
      <c r="E490" s="11"/>
      <c r="F490" s="11" t="str">
        <f aca="false">IF($D490="","",$D490*$E490)</f>
        <v/>
      </c>
      <c r="G490" s="11" t="str">
        <f aca="false">IFERROR(IF($B490="","",INDEX(Inventory!$G$3:$G$253,MATCH($B490,Inventory!$A$3:$A$253,0))),"")</f>
        <v/>
      </c>
      <c r="H490" s="11" t="str">
        <f aca="false">IF($D490="","",$D490*IFERROR($G490+0,0))</f>
        <v/>
      </c>
      <c r="I490" s="11"/>
      <c r="J490" s="11"/>
      <c r="K490" s="11" t="str">
        <f aca="false">IF($F490="","",$F490-$I490-$J490)</f>
        <v/>
      </c>
      <c r="L490" s="11" t="str">
        <f aca="false">IF($K490="","",$K490-$H490)</f>
        <v/>
      </c>
      <c r="M490" s="12" t="str">
        <f aca="false">IF(OR($F490="",$F490=0),"",$L490/$F490)</f>
        <v/>
      </c>
      <c r="N490" s="14"/>
      <c r="O490" s="14"/>
      <c r="P490" s="14"/>
      <c r="Q490" s="14"/>
    </row>
    <row r="491" customFormat="false" ht="15" hidden="false" customHeight="false" outlineLevel="0" collapsed="false">
      <c r="A491" s="16"/>
      <c r="B491" s="14"/>
      <c r="C491" s="14" t="str">
        <f aca="false">IFERROR(IF($B491="","",INDEX(Inventory!$B$3:$B$253,MATCH($B491,Inventory!$A$3:$A$253,0))),"")</f>
        <v/>
      </c>
      <c r="D491" s="15"/>
      <c r="E491" s="11"/>
      <c r="F491" s="11" t="str">
        <f aca="false">IF($D491="","",$D491*$E491)</f>
        <v/>
      </c>
      <c r="G491" s="11" t="str">
        <f aca="false">IFERROR(IF($B491="","",INDEX(Inventory!$G$3:$G$253,MATCH($B491,Inventory!$A$3:$A$253,0))),"")</f>
        <v/>
      </c>
      <c r="H491" s="11" t="str">
        <f aca="false">IF($D491="","",$D491*IFERROR($G491+0,0))</f>
        <v/>
      </c>
      <c r="I491" s="11"/>
      <c r="J491" s="11"/>
      <c r="K491" s="11" t="str">
        <f aca="false">IF($F491="","",$F491-$I491-$J491)</f>
        <v/>
      </c>
      <c r="L491" s="11" t="str">
        <f aca="false">IF($K491="","",$K491-$H491)</f>
        <v/>
      </c>
      <c r="M491" s="12" t="str">
        <f aca="false">IF(OR($F491="",$F491=0),"",$L491/$F491)</f>
        <v/>
      </c>
      <c r="N491" s="14"/>
      <c r="O491" s="14"/>
      <c r="P491" s="14"/>
      <c r="Q491" s="14"/>
    </row>
    <row r="492" customFormat="false" ht="15" hidden="false" customHeight="false" outlineLevel="0" collapsed="false">
      <c r="A492" s="16"/>
      <c r="B492" s="14"/>
      <c r="C492" s="14" t="str">
        <f aca="false">IFERROR(IF($B492="","",INDEX(Inventory!$B$3:$B$253,MATCH($B492,Inventory!$A$3:$A$253,0))),"")</f>
        <v/>
      </c>
      <c r="D492" s="15"/>
      <c r="E492" s="11"/>
      <c r="F492" s="11" t="str">
        <f aca="false">IF($D492="","",$D492*$E492)</f>
        <v/>
      </c>
      <c r="G492" s="11" t="str">
        <f aca="false">IFERROR(IF($B492="","",INDEX(Inventory!$G$3:$G$253,MATCH($B492,Inventory!$A$3:$A$253,0))),"")</f>
        <v/>
      </c>
      <c r="H492" s="11" t="str">
        <f aca="false">IF($D492="","",$D492*IFERROR($G492+0,0))</f>
        <v/>
      </c>
      <c r="I492" s="11"/>
      <c r="J492" s="11"/>
      <c r="K492" s="11" t="str">
        <f aca="false">IF($F492="","",$F492-$I492-$J492)</f>
        <v/>
      </c>
      <c r="L492" s="11" t="str">
        <f aca="false">IF($K492="","",$K492-$H492)</f>
        <v/>
      </c>
      <c r="M492" s="12" t="str">
        <f aca="false">IF(OR($F492="",$F492=0),"",$L492/$F492)</f>
        <v/>
      </c>
      <c r="N492" s="14"/>
      <c r="O492" s="14"/>
      <c r="P492" s="14"/>
      <c r="Q492" s="14"/>
    </row>
    <row r="493" customFormat="false" ht="15" hidden="false" customHeight="false" outlineLevel="0" collapsed="false">
      <c r="A493" s="16"/>
      <c r="B493" s="14"/>
      <c r="C493" s="14" t="str">
        <f aca="false">IFERROR(IF($B493="","",INDEX(Inventory!$B$3:$B$253,MATCH($B493,Inventory!$A$3:$A$253,0))),"")</f>
        <v/>
      </c>
      <c r="D493" s="15"/>
      <c r="E493" s="11"/>
      <c r="F493" s="11" t="str">
        <f aca="false">IF($D493="","",$D493*$E493)</f>
        <v/>
      </c>
      <c r="G493" s="11" t="str">
        <f aca="false">IFERROR(IF($B493="","",INDEX(Inventory!$G$3:$G$253,MATCH($B493,Inventory!$A$3:$A$253,0))),"")</f>
        <v/>
      </c>
      <c r="H493" s="11" t="str">
        <f aca="false">IF($D493="","",$D493*IFERROR($G493+0,0))</f>
        <v/>
      </c>
      <c r="I493" s="11"/>
      <c r="J493" s="11"/>
      <c r="K493" s="11" t="str">
        <f aca="false">IF($F493="","",$F493-$I493-$J493)</f>
        <v/>
      </c>
      <c r="L493" s="11" t="str">
        <f aca="false">IF($K493="","",$K493-$H493)</f>
        <v/>
      </c>
      <c r="M493" s="12" t="str">
        <f aca="false">IF(OR($F493="",$F493=0),"",$L493/$F493)</f>
        <v/>
      </c>
      <c r="N493" s="14"/>
      <c r="O493" s="14"/>
      <c r="P493" s="14"/>
      <c r="Q493" s="14"/>
    </row>
    <row r="494" customFormat="false" ht="15" hidden="false" customHeight="false" outlineLevel="0" collapsed="false">
      <c r="A494" s="16"/>
      <c r="B494" s="14"/>
      <c r="C494" s="14" t="str">
        <f aca="false">IFERROR(IF($B494="","",INDEX(Inventory!$B$3:$B$253,MATCH($B494,Inventory!$A$3:$A$253,0))),"")</f>
        <v/>
      </c>
      <c r="D494" s="15"/>
      <c r="E494" s="11"/>
      <c r="F494" s="11" t="str">
        <f aca="false">IF($D494="","",$D494*$E494)</f>
        <v/>
      </c>
      <c r="G494" s="11" t="str">
        <f aca="false">IFERROR(IF($B494="","",INDEX(Inventory!$G$3:$G$253,MATCH($B494,Inventory!$A$3:$A$253,0))),"")</f>
        <v/>
      </c>
      <c r="H494" s="11" t="str">
        <f aca="false">IF($D494="","",$D494*IFERROR($G494+0,0))</f>
        <v/>
      </c>
      <c r="I494" s="11"/>
      <c r="J494" s="11"/>
      <c r="K494" s="11" t="str">
        <f aca="false">IF($F494="","",$F494-$I494-$J494)</f>
        <v/>
      </c>
      <c r="L494" s="11" t="str">
        <f aca="false">IF($K494="","",$K494-$H494)</f>
        <v/>
      </c>
      <c r="M494" s="12" t="str">
        <f aca="false">IF(OR($F494="",$F494=0),"",$L494/$F494)</f>
        <v/>
      </c>
      <c r="N494" s="14"/>
      <c r="O494" s="14"/>
      <c r="P494" s="14"/>
      <c r="Q494" s="14"/>
    </row>
    <row r="495" customFormat="false" ht="15" hidden="false" customHeight="false" outlineLevel="0" collapsed="false">
      <c r="A495" s="16"/>
      <c r="B495" s="14"/>
      <c r="C495" s="14" t="str">
        <f aca="false">IFERROR(IF($B495="","",INDEX(Inventory!$B$3:$B$253,MATCH($B495,Inventory!$A$3:$A$253,0))),"")</f>
        <v/>
      </c>
      <c r="D495" s="15"/>
      <c r="E495" s="11"/>
      <c r="F495" s="11" t="str">
        <f aca="false">IF($D495="","",$D495*$E495)</f>
        <v/>
      </c>
      <c r="G495" s="11" t="str">
        <f aca="false">IFERROR(IF($B495="","",INDEX(Inventory!$G$3:$G$253,MATCH($B495,Inventory!$A$3:$A$253,0))),"")</f>
        <v/>
      </c>
      <c r="H495" s="11" t="str">
        <f aca="false">IF($D495="","",$D495*IFERROR($G495+0,0))</f>
        <v/>
      </c>
      <c r="I495" s="11"/>
      <c r="J495" s="11"/>
      <c r="K495" s="11" t="str">
        <f aca="false">IF($F495="","",$F495-$I495-$J495)</f>
        <v/>
      </c>
      <c r="L495" s="11" t="str">
        <f aca="false">IF($K495="","",$K495-$H495)</f>
        <v/>
      </c>
      <c r="M495" s="12" t="str">
        <f aca="false">IF(OR($F495="",$F495=0),"",$L495/$F495)</f>
        <v/>
      </c>
      <c r="N495" s="14"/>
      <c r="O495" s="14"/>
      <c r="P495" s="14"/>
      <c r="Q495" s="14"/>
    </row>
    <row r="496" customFormat="false" ht="15" hidden="false" customHeight="false" outlineLevel="0" collapsed="false">
      <c r="A496" s="16"/>
      <c r="B496" s="14"/>
      <c r="C496" s="14" t="str">
        <f aca="false">IFERROR(IF($B496="","",INDEX(Inventory!$B$3:$B$253,MATCH($B496,Inventory!$A$3:$A$253,0))),"")</f>
        <v/>
      </c>
      <c r="D496" s="15"/>
      <c r="E496" s="11"/>
      <c r="F496" s="11" t="str">
        <f aca="false">IF($D496="","",$D496*$E496)</f>
        <v/>
      </c>
      <c r="G496" s="11" t="str">
        <f aca="false">IFERROR(IF($B496="","",INDEX(Inventory!$G$3:$G$253,MATCH($B496,Inventory!$A$3:$A$253,0))),"")</f>
        <v/>
      </c>
      <c r="H496" s="11" t="str">
        <f aca="false">IF($D496="","",$D496*IFERROR($G496+0,0))</f>
        <v/>
      </c>
      <c r="I496" s="11"/>
      <c r="J496" s="11"/>
      <c r="K496" s="11" t="str">
        <f aca="false">IF($F496="","",$F496-$I496-$J496)</f>
        <v/>
      </c>
      <c r="L496" s="11" t="str">
        <f aca="false">IF($K496="","",$K496-$H496)</f>
        <v/>
      </c>
      <c r="M496" s="12" t="str">
        <f aca="false">IF(OR($F496="",$F496=0),"",$L496/$F496)</f>
        <v/>
      </c>
      <c r="N496" s="14"/>
      <c r="O496" s="14"/>
      <c r="P496" s="14"/>
      <c r="Q496" s="14"/>
    </row>
    <row r="497" customFormat="false" ht="15" hidden="false" customHeight="false" outlineLevel="0" collapsed="false">
      <c r="A497" s="16"/>
      <c r="B497" s="14"/>
      <c r="C497" s="14" t="str">
        <f aca="false">IFERROR(IF($B497="","",INDEX(Inventory!$B$3:$B$253,MATCH($B497,Inventory!$A$3:$A$253,0))),"")</f>
        <v/>
      </c>
      <c r="D497" s="15"/>
      <c r="E497" s="11"/>
      <c r="F497" s="11" t="str">
        <f aca="false">IF($D497="","",$D497*$E497)</f>
        <v/>
      </c>
      <c r="G497" s="11" t="str">
        <f aca="false">IFERROR(IF($B497="","",INDEX(Inventory!$G$3:$G$253,MATCH($B497,Inventory!$A$3:$A$253,0))),"")</f>
        <v/>
      </c>
      <c r="H497" s="11" t="str">
        <f aca="false">IF($D497="","",$D497*IFERROR($G497+0,0))</f>
        <v/>
      </c>
      <c r="I497" s="11"/>
      <c r="J497" s="11"/>
      <c r="K497" s="11" t="str">
        <f aca="false">IF($F497="","",$F497-$I497-$J497)</f>
        <v/>
      </c>
      <c r="L497" s="11" t="str">
        <f aca="false">IF($K497="","",$K497-$H497)</f>
        <v/>
      </c>
      <c r="M497" s="12" t="str">
        <f aca="false">IF(OR($F497="",$F497=0),"",$L497/$F497)</f>
        <v/>
      </c>
      <c r="N497" s="14"/>
      <c r="O497" s="14"/>
      <c r="P497" s="14"/>
      <c r="Q497" s="14"/>
    </row>
    <row r="498" customFormat="false" ht="15" hidden="false" customHeight="false" outlineLevel="0" collapsed="false">
      <c r="A498" s="16"/>
      <c r="B498" s="14"/>
      <c r="C498" s="14" t="str">
        <f aca="false">IFERROR(IF($B498="","",INDEX(Inventory!$B$3:$B$253,MATCH($B498,Inventory!$A$3:$A$253,0))),"")</f>
        <v/>
      </c>
      <c r="D498" s="15"/>
      <c r="E498" s="11"/>
      <c r="F498" s="11" t="str">
        <f aca="false">IF($D498="","",$D498*$E498)</f>
        <v/>
      </c>
      <c r="G498" s="11" t="str">
        <f aca="false">IFERROR(IF($B498="","",INDEX(Inventory!$G$3:$G$253,MATCH($B498,Inventory!$A$3:$A$253,0))),"")</f>
        <v/>
      </c>
      <c r="H498" s="11" t="str">
        <f aca="false">IF($D498="","",$D498*IFERROR($G498+0,0))</f>
        <v/>
      </c>
      <c r="I498" s="11"/>
      <c r="J498" s="11"/>
      <c r="K498" s="11" t="str">
        <f aca="false">IF($F498="","",$F498-$I498-$J498)</f>
        <v/>
      </c>
      <c r="L498" s="11" t="str">
        <f aca="false">IF($K498="","",$K498-$H498)</f>
        <v/>
      </c>
      <c r="M498" s="12" t="str">
        <f aca="false">IF(OR($F498="",$F498=0),"",$L498/$F498)</f>
        <v/>
      </c>
      <c r="N498" s="14"/>
      <c r="O498" s="14"/>
      <c r="P498" s="14"/>
      <c r="Q498" s="14"/>
    </row>
    <row r="499" customFormat="false" ht="15" hidden="false" customHeight="false" outlineLevel="0" collapsed="false">
      <c r="A499" s="16"/>
      <c r="B499" s="14"/>
      <c r="C499" s="14" t="str">
        <f aca="false">IFERROR(IF($B499="","",INDEX(Inventory!$B$3:$B$253,MATCH($B499,Inventory!$A$3:$A$253,0))),"")</f>
        <v/>
      </c>
      <c r="D499" s="15"/>
      <c r="E499" s="11"/>
      <c r="F499" s="11" t="str">
        <f aca="false">IF($D499="","",$D499*$E499)</f>
        <v/>
      </c>
      <c r="G499" s="11" t="str">
        <f aca="false">IFERROR(IF($B499="","",INDEX(Inventory!$G$3:$G$253,MATCH($B499,Inventory!$A$3:$A$253,0))),"")</f>
        <v/>
      </c>
      <c r="H499" s="11" t="str">
        <f aca="false">IF($D499="","",$D499*IFERROR($G499+0,0))</f>
        <v/>
      </c>
      <c r="I499" s="11"/>
      <c r="J499" s="11"/>
      <c r="K499" s="11" t="str">
        <f aca="false">IF($F499="","",$F499-$I499-$J499)</f>
        <v/>
      </c>
      <c r="L499" s="11" t="str">
        <f aca="false">IF($K499="","",$K499-$H499)</f>
        <v/>
      </c>
      <c r="M499" s="12" t="str">
        <f aca="false">IF(OR($F499="",$F499=0),"",$L499/$F499)</f>
        <v/>
      </c>
      <c r="N499" s="14"/>
      <c r="O499" s="14"/>
      <c r="P499" s="14"/>
      <c r="Q499" s="14"/>
    </row>
    <row r="500" customFormat="false" ht="15" hidden="false" customHeight="false" outlineLevel="0" collapsed="false">
      <c r="A500" s="16"/>
      <c r="B500" s="14"/>
      <c r="C500" s="14" t="str">
        <f aca="false">IFERROR(IF($B500="","",INDEX(Inventory!$B$3:$B$253,MATCH($B500,Inventory!$A$3:$A$253,0))),"")</f>
        <v/>
      </c>
      <c r="D500" s="15"/>
      <c r="E500" s="11"/>
      <c r="F500" s="11" t="str">
        <f aca="false">IF($D500="","",$D500*$E500)</f>
        <v/>
      </c>
      <c r="G500" s="11" t="str">
        <f aca="false">IFERROR(IF($B500="","",INDEX(Inventory!$G$3:$G$253,MATCH($B500,Inventory!$A$3:$A$253,0))),"")</f>
        <v/>
      </c>
      <c r="H500" s="11" t="str">
        <f aca="false">IF($D500="","",$D500*IFERROR($G500+0,0))</f>
        <v/>
      </c>
      <c r="I500" s="11"/>
      <c r="J500" s="11"/>
      <c r="K500" s="11" t="str">
        <f aca="false">IF($F500="","",$F500-$I500-$J500)</f>
        <v/>
      </c>
      <c r="L500" s="11" t="str">
        <f aca="false">IF($K500="","",$K500-$H500)</f>
        <v/>
      </c>
      <c r="M500" s="12" t="str">
        <f aca="false">IF(OR($F500="",$F500=0),"",$L500/$F500)</f>
        <v/>
      </c>
      <c r="N500" s="14"/>
      <c r="O500" s="14"/>
      <c r="P500" s="14"/>
      <c r="Q500" s="14"/>
    </row>
    <row r="501" customFormat="false" ht="15" hidden="false" customHeight="false" outlineLevel="0" collapsed="false">
      <c r="A501" s="16"/>
      <c r="B501" s="14"/>
      <c r="C501" s="14" t="str">
        <f aca="false">IFERROR(IF($B501="","",INDEX(Inventory!$B$3:$B$253,MATCH($B501,Inventory!$A$3:$A$253,0))),"")</f>
        <v/>
      </c>
      <c r="D501" s="15"/>
      <c r="E501" s="11"/>
      <c r="F501" s="11" t="str">
        <f aca="false">IF($D501="","",$D501*$E501)</f>
        <v/>
      </c>
      <c r="G501" s="11" t="str">
        <f aca="false">IFERROR(IF($B501="","",INDEX(Inventory!$G$3:$G$253,MATCH($B501,Inventory!$A$3:$A$253,0))),"")</f>
        <v/>
      </c>
      <c r="H501" s="11" t="str">
        <f aca="false">IF($D501="","",$D501*IFERROR($G501+0,0))</f>
        <v/>
      </c>
      <c r="I501" s="11"/>
      <c r="J501" s="11"/>
      <c r="K501" s="11" t="str">
        <f aca="false">IF($F501="","",$F501-$I501-$J501)</f>
        <v/>
      </c>
      <c r="L501" s="11" t="str">
        <f aca="false">IF($K501="","",$K501-$H501)</f>
        <v/>
      </c>
      <c r="M501" s="12" t="str">
        <f aca="false">IF(OR($F501="",$F501=0),"",$L501/$F501)</f>
        <v/>
      </c>
      <c r="N501" s="14"/>
      <c r="O501" s="14"/>
      <c r="P501" s="14"/>
      <c r="Q501" s="14"/>
    </row>
    <row r="502" customFormat="false" ht="15" hidden="false" customHeight="false" outlineLevel="0" collapsed="false">
      <c r="A502" s="16"/>
      <c r="B502" s="14"/>
      <c r="C502" s="14" t="str">
        <f aca="false">IFERROR(IF($B502="","",INDEX(Inventory!$B$3:$B$253,MATCH($B502,Inventory!$A$3:$A$253,0))),"")</f>
        <v/>
      </c>
      <c r="D502" s="15"/>
      <c r="E502" s="11"/>
      <c r="F502" s="11" t="str">
        <f aca="false">IF($D502="","",$D502*$E502)</f>
        <v/>
      </c>
      <c r="G502" s="11" t="str">
        <f aca="false">IFERROR(IF($B502="","",INDEX(Inventory!$G$3:$G$253,MATCH($B502,Inventory!$A$3:$A$253,0))),"")</f>
        <v/>
      </c>
      <c r="H502" s="11" t="str">
        <f aca="false">IF($D502="","",$D502*IFERROR($G502+0,0))</f>
        <v/>
      </c>
      <c r="I502" s="11"/>
      <c r="J502" s="11"/>
      <c r="K502" s="11" t="str">
        <f aca="false">IF($F502="","",$F502-$I502-$J502)</f>
        <v/>
      </c>
      <c r="L502" s="11" t="str">
        <f aca="false">IF($K502="","",$K502-$H502)</f>
        <v/>
      </c>
      <c r="M502" s="12" t="str">
        <f aca="false">IF(OR($F502="",$F502=0),"",$L502/$F502)</f>
        <v/>
      </c>
      <c r="N502" s="14"/>
      <c r="O502" s="14"/>
      <c r="P502" s="14"/>
      <c r="Q502" s="14"/>
    </row>
    <row r="503" customFormat="false" ht="15" hidden="false" customHeight="false" outlineLevel="0" collapsed="false">
      <c r="A503" s="16"/>
      <c r="B503" s="14"/>
      <c r="C503" s="14" t="str">
        <f aca="false">IFERROR(IF($B503="","",INDEX(Inventory!$B$3:$B$253,MATCH($B503,Inventory!$A$3:$A$253,0))),"")</f>
        <v/>
      </c>
      <c r="D503" s="15"/>
      <c r="E503" s="11"/>
      <c r="F503" s="11" t="str">
        <f aca="false">IF($D503="","",$D503*$E503)</f>
        <v/>
      </c>
      <c r="G503" s="11" t="str">
        <f aca="false">IFERROR(IF($B503="","",INDEX(Inventory!$G$3:$G$253,MATCH($B503,Inventory!$A$3:$A$253,0))),"")</f>
        <v/>
      </c>
      <c r="H503" s="11" t="str">
        <f aca="false">IF($D503="","",$D503*IFERROR($G503+0,0))</f>
        <v/>
      </c>
      <c r="I503" s="11"/>
      <c r="J503" s="11"/>
      <c r="K503" s="11" t="str">
        <f aca="false">IF($F503="","",$F503-$I503-$J503)</f>
        <v/>
      </c>
      <c r="L503" s="11" t="str">
        <f aca="false">IF($K503="","",$K503-$H503)</f>
        <v/>
      </c>
      <c r="M503" s="12" t="str">
        <f aca="false">IF(OR($F503="",$F503=0),"",$L503/$F503)</f>
        <v/>
      </c>
      <c r="N503" s="14"/>
      <c r="O503" s="14"/>
      <c r="P503" s="14"/>
      <c r="Q503" s="14"/>
    </row>
  </sheetData>
  <autoFilter ref="A2:Q503"/>
  <mergeCells count="1">
    <mergeCell ref="A1:Q1"/>
  </mergeCells>
  <conditionalFormatting sqref="L3:L503">
    <cfRule type="cellIs" priority="2" operator="lessThan" aboveAverage="0" equalAverage="0" bottom="0" percent="0" rank="0" text="" dxfId="5">
      <formula>0</formula>
    </cfRule>
    <cfRule type="cellIs" priority="3" operator="greaterThan" aboveAverage="0" equalAverage="0" bottom="0" percent="0" rank="0" text="" dxfId="6">
      <formula>0</formula>
    </cfRule>
  </conditionalFormatting>
  <dataValidations count="2">
    <dataValidation allowBlank="true" error="That value is not in the list on the Lists tab. You can keep it, or add it to Lists so the dropdown and the Dashboard stay in sync." errorStyle="warning" errorTitle="Not on the list" operator="between" prompt="Where the sale happened." promptTitle="Channel" showDropDown="false" showErrorMessage="false" showInputMessage="false" sqref="N3:N503" type="list">
      <formula1>ChannelList</formula1>
      <formula2>0</formula2>
    </dataValidation>
    <dataValidation allowBlank="true" error="That value is not in the list on the Lists tab. You can keep it, or add it to Lists so the dropdown and the Dashboard stay in sync." errorStyle="warning" errorTitle="Not on the list" operator="between" prompt="How you got paid." promptTitle="Payment" showDropDown="false" showErrorMessage="false" showInputMessage="false" sqref="P3:P503" type="list">
      <formula1>PaymentList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64F"/>
    <pageSetUpPr fitToPage="false"/>
  </sheetPr>
  <dimension ref="A1:N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8"/>
    <col collapsed="false" customWidth="true" hidden="false" outlineLevel="0" max="4" min="4" style="0" width="11"/>
    <col collapsed="false" customWidth="true" hidden="false" outlineLevel="0" max="5" min="5" style="0" width="12"/>
    <col collapsed="false" customWidth="true" hidden="false" outlineLevel="0" max="6" min="6" style="0" width="14"/>
    <col collapsed="false" customWidth="true" hidden="false" outlineLevel="0" max="8" min="7" style="0" width="12"/>
    <col collapsed="false" customWidth="true" hidden="false" outlineLevel="0" max="9" min="9" style="0" width="15"/>
    <col collapsed="false" customWidth="true" hidden="false" outlineLevel="0" max="12" min="10" style="0" width="12"/>
    <col collapsed="false" customWidth="true" hidden="false" outlineLevel="0" max="13" min="13" style="0" width="15"/>
    <col collapsed="false" customWidth="true" hidden="false" outlineLevel="0" max="14" min="14" style="0" width="30"/>
  </cols>
  <sheetData>
    <row r="1" customFormat="false" ht="25.5" hidden="false" customHeight="true" outlineLevel="0" collapsed="false">
      <c r="A1" s="6" t="s">
        <v>94</v>
      </c>
      <c r="B1" s="6"/>
      <c r="C1" s="6"/>
      <c r="D1" s="6"/>
      <c r="E1" s="6"/>
      <c r="F1" s="6"/>
      <c r="G1" s="6"/>
      <c r="H1" s="6"/>
      <c r="I1" s="6"/>
      <c r="J1" s="6"/>
      <c r="K1" s="6"/>
      <c r="L1" s="6"/>
      <c r="M1" s="6"/>
      <c r="N1" s="6"/>
    </row>
    <row r="2" customFormat="false" ht="31.5" hidden="false" customHeight="true" outlineLevel="0" collapsed="false">
      <c r="A2" s="7" t="s">
        <v>95</v>
      </c>
      <c r="B2" s="7" t="s">
        <v>96</v>
      </c>
      <c r="C2" s="7" t="s">
        <v>97</v>
      </c>
      <c r="D2" s="7" t="s">
        <v>98</v>
      </c>
      <c r="E2" s="7" t="s">
        <v>99</v>
      </c>
      <c r="F2" s="7" t="s">
        <v>100</v>
      </c>
      <c r="G2" s="7" t="s">
        <v>101</v>
      </c>
      <c r="H2" s="7" t="s">
        <v>102</v>
      </c>
      <c r="I2" s="7" t="s">
        <v>103</v>
      </c>
      <c r="J2" s="7" t="s">
        <v>104</v>
      </c>
      <c r="K2" s="7" t="s">
        <v>105</v>
      </c>
      <c r="L2" s="7" t="s">
        <v>106</v>
      </c>
      <c r="M2" s="7" t="s">
        <v>44</v>
      </c>
      <c r="N2" s="7" t="s">
        <v>67</v>
      </c>
    </row>
    <row r="3" customFormat="false" ht="15" hidden="false" customHeight="false" outlineLevel="0" collapsed="false">
      <c r="A3" s="8" t="s">
        <v>92</v>
      </c>
      <c r="B3" s="13" t="n">
        <v>46222</v>
      </c>
      <c r="C3" s="8" t="s">
        <v>107</v>
      </c>
      <c r="D3" s="10" t="n">
        <v>75</v>
      </c>
      <c r="E3" s="10" t="n">
        <v>22</v>
      </c>
      <c r="F3" s="10" t="n">
        <v>18</v>
      </c>
      <c r="G3" s="10" t="n">
        <v>0</v>
      </c>
      <c r="H3" s="11" t="n">
        <f aca="false">IF($A3="","",$D3+$E3+$F3+$G3)</f>
        <v>115</v>
      </c>
      <c r="I3" s="11" t="n">
        <f aca="false">IF($A3="","",SUMIFS('Sales Log'!$F$3:$F$503,'Sales Log'!$O$3:$O$503,$A3))</f>
        <v>64</v>
      </c>
      <c r="J3" s="11" t="n">
        <f aca="false">IF($A3="","",SUMIFS('Sales Log'!$H$3:$H$503,'Sales Log'!$O$3:$O$503,$A3))</f>
        <v>42</v>
      </c>
      <c r="K3" s="11" t="n">
        <f aca="false">IF($A3="","",SUMIFS('Sales Log'!$I$3:$I$503,'Sales Log'!$O$3:$O$503,$A3))</f>
        <v>0</v>
      </c>
      <c r="L3" s="11" t="n">
        <f aca="false">IF($A3="","",$I3-$J3-$K3-$H3)</f>
        <v>-93</v>
      </c>
      <c r="M3" s="11" t="n">
        <f aca="false">IF($A3="","",IFERROR($H3/(1-$J3/$I3),$H3))</f>
        <v>334.545454545455</v>
      </c>
      <c r="N3" s="8" t="s">
        <v>76</v>
      </c>
    </row>
    <row r="4" customFormat="false" ht="15" hidden="false" customHeight="false" outlineLevel="0" collapsed="false">
      <c r="A4" s="14"/>
      <c r="B4" s="16"/>
      <c r="C4" s="14"/>
      <c r="D4" s="11"/>
      <c r="E4" s="11"/>
      <c r="F4" s="11"/>
      <c r="G4" s="11"/>
      <c r="H4" s="11" t="str">
        <f aca="false">IF($A4="","",$D4+$E4+$F4+$G4)</f>
        <v/>
      </c>
      <c r="I4" s="11" t="str">
        <f aca="false">IF($A4="","",SUMIFS('Sales Log'!$F$3:$F$503,'Sales Log'!$O$3:$O$503,$A4))</f>
        <v/>
      </c>
      <c r="J4" s="11" t="str">
        <f aca="false">IF($A4="","",SUMIFS('Sales Log'!$H$3:$H$503,'Sales Log'!$O$3:$O$503,$A4))</f>
        <v/>
      </c>
      <c r="K4" s="11" t="str">
        <f aca="false">IF($A4="","",SUMIFS('Sales Log'!$I$3:$I$503,'Sales Log'!$O$3:$O$503,$A4))</f>
        <v/>
      </c>
      <c r="L4" s="11" t="str">
        <f aca="false">IF($A4="","",$I4-$J4-$K4-$H4)</f>
        <v/>
      </c>
      <c r="M4" s="11" t="str">
        <f aca="false">IF($A4="","",IFERROR($H4/(1-$J4/$I4),$H4))</f>
        <v/>
      </c>
      <c r="N4" s="14"/>
    </row>
    <row r="5" customFormat="false" ht="15" hidden="false" customHeight="false" outlineLevel="0" collapsed="false">
      <c r="A5" s="14"/>
      <c r="B5" s="16"/>
      <c r="C5" s="14"/>
      <c r="D5" s="11"/>
      <c r="E5" s="11"/>
      <c r="F5" s="11"/>
      <c r="G5" s="11"/>
      <c r="H5" s="11" t="str">
        <f aca="false">IF($A5="","",$D5+$E5+$F5+$G5)</f>
        <v/>
      </c>
      <c r="I5" s="11" t="str">
        <f aca="false">IF($A5="","",SUMIFS('Sales Log'!$F$3:$F$503,'Sales Log'!$O$3:$O$503,$A5))</f>
        <v/>
      </c>
      <c r="J5" s="11" t="str">
        <f aca="false">IF($A5="","",SUMIFS('Sales Log'!$H$3:$H$503,'Sales Log'!$O$3:$O$503,$A5))</f>
        <v/>
      </c>
      <c r="K5" s="11" t="str">
        <f aca="false">IF($A5="","",SUMIFS('Sales Log'!$I$3:$I$503,'Sales Log'!$O$3:$O$503,$A5))</f>
        <v/>
      </c>
      <c r="L5" s="11" t="str">
        <f aca="false">IF($A5="","",$I5-$J5-$K5-$H5)</f>
        <v/>
      </c>
      <c r="M5" s="11" t="str">
        <f aca="false">IF($A5="","",IFERROR($H5/(1-$J5/$I5),$H5))</f>
        <v/>
      </c>
      <c r="N5" s="14"/>
    </row>
    <row r="6" customFormat="false" ht="15" hidden="false" customHeight="false" outlineLevel="0" collapsed="false">
      <c r="A6" s="14"/>
      <c r="B6" s="16"/>
      <c r="C6" s="14"/>
      <c r="D6" s="11"/>
      <c r="E6" s="11"/>
      <c r="F6" s="11"/>
      <c r="G6" s="11"/>
      <c r="H6" s="11" t="str">
        <f aca="false">IF($A6="","",$D6+$E6+$F6+$G6)</f>
        <v/>
      </c>
      <c r="I6" s="11" t="str">
        <f aca="false">IF($A6="","",SUMIFS('Sales Log'!$F$3:$F$503,'Sales Log'!$O$3:$O$503,$A6))</f>
        <v/>
      </c>
      <c r="J6" s="11" t="str">
        <f aca="false">IF($A6="","",SUMIFS('Sales Log'!$H$3:$H$503,'Sales Log'!$O$3:$O$503,$A6))</f>
        <v/>
      </c>
      <c r="K6" s="11" t="str">
        <f aca="false">IF($A6="","",SUMIFS('Sales Log'!$I$3:$I$503,'Sales Log'!$O$3:$O$503,$A6))</f>
        <v/>
      </c>
      <c r="L6" s="11" t="str">
        <f aca="false">IF($A6="","",$I6-$J6-$K6-$H6)</f>
        <v/>
      </c>
      <c r="M6" s="11" t="str">
        <f aca="false">IF($A6="","",IFERROR($H6/(1-$J6/$I6),$H6))</f>
        <v/>
      </c>
      <c r="N6" s="14"/>
    </row>
    <row r="7" customFormat="false" ht="15" hidden="false" customHeight="false" outlineLevel="0" collapsed="false">
      <c r="A7" s="14"/>
      <c r="B7" s="16"/>
      <c r="C7" s="14"/>
      <c r="D7" s="11"/>
      <c r="E7" s="11"/>
      <c r="F7" s="11"/>
      <c r="G7" s="11"/>
      <c r="H7" s="11" t="str">
        <f aca="false">IF($A7="","",$D7+$E7+$F7+$G7)</f>
        <v/>
      </c>
      <c r="I7" s="11" t="str">
        <f aca="false">IF($A7="","",SUMIFS('Sales Log'!$F$3:$F$503,'Sales Log'!$O$3:$O$503,$A7))</f>
        <v/>
      </c>
      <c r="J7" s="11" t="str">
        <f aca="false">IF($A7="","",SUMIFS('Sales Log'!$H$3:$H$503,'Sales Log'!$O$3:$O$503,$A7))</f>
        <v/>
      </c>
      <c r="K7" s="11" t="str">
        <f aca="false">IF($A7="","",SUMIFS('Sales Log'!$I$3:$I$503,'Sales Log'!$O$3:$O$503,$A7))</f>
        <v/>
      </c>
      <c r="L7" s="11" t="str">
        <f aca="false">IF($A7="","",$I7-$J7-$K7-$H7)</f>
        <v/>
      </c>
      <c r="M7" s="11" t="str">
        <f aca="false">IF($A7="","",IFERROR($H7/(1-$J7/$I7),$H7))</f>
        <v/>
      </c>
      <c r="N7" s="14"/>
    </row>
    <row r="8" customFormat="false" ht="15" hidden="false" customHeight="false" outlineLevel="0" collapsed="false">
      <c r="A8" s="14"/>
      <c r="B8" s="16"/>
      <c r="C8" s="14"/>
      <c r="D8" s="11"/>
      <c r="E8" s="11"/>
      <c r="F8" s="11"/>
      <c r="G8" s="11"/>
      <c r="H8" s="11" t="str">
        <f aca="false">IF($A8="","",$D8+$E8+$F8+$G8)</f>
        <v/>
      </c>
      <c r="I8" s="11" t="str">
        <f aca="false">IF($A8="","",SUMIFS('Sales Log'!$F$3:$F$503,'Sales Log'!$O$3:$O$503,$A8))</f>
        <v/>
      </c>
      <c r="J8" s="11" t="str">
        <f aca="false">IF($A8="","",SUMIFS('Sales Log'!$H$3:$H$503,'Sales Log'!$O$3:$O$503,$A8))</f>
        <v/>
      </c>
      <c r="K8" s="11" t="str">
        <f aca="false">IF($A8="","",SUMIFS('Sales Log'!$I$3:$I$503,'Sales Log'!$O$3:$O$503,$A8))</f>
        <v/>
      </c>
      <c r="L8" s="11" t="str">
        <f aca="false">IF($A8="","",$I8-$J8-$K8-$H8)</f>
        <v/>
      </c>
      <c r="M8" s="11" t="str">
        <f aca="false">IF($A8="","",IFERROR($H8/(1-$J8/$I8),$H8))</f>
        <v/>
      </c>
      <c r="N8" s="14"/>
    </row>
    <row r="9" customFormat="false" ht="15" hidden="false" customHeight="false" outlineLevel="0" collapsed="false">
      <c r="A9" s="14"/>
      <c r="B9" s="16"/>
      <c r="C9" s="14"/>
      <c r="D9" s="11"/>
      <c r="E9" s="11"/>
      <c r="F9" s="11"/>
      <c r="G9" s="11"/>
      <c r="H9" s="11" t="str">
        <f aca="false">IF($A9="","",$D9+$E9+$F9+$G9)</f>
        <v/>
      </c>
      <c r="I9" s="11" t="str">
        <f aca="false">IF($A9="","",SUMIFS('Sales Log'!$F$3:$F$503,'Sales Log'!$O$3:$O$503,$A9))</f>
        <v/>
      </c>
      <c r="J9" s="11" t="str">
        <f aca="false">IF($A9="","",SUMIFS('Sales Log'!$H$3:$H$503,'Sales Log'!$O$3:$O$503,$A9))</f>
        <v/>
      </c>
      <c r="K9" s="11" t="str">
        <f aca="false">IF($A9="","",SUMIFS('Sales Log'!$I$3:$I$503,'Sales Log'!$O$3:$O$503,$A9))</f>
        <v/>
      </c>
      <c r="L9" s="11" t="str">
        <f aca="false">IF($A9="","",$I9-$J9-$K9-$H9)</f>
        <v/>
      </c>
      <c r="M9" s="11" t="str">
        <f aca="false">IF($A9="","",IFERROR($H9/(1-$J9/$I9),$H9))</f>
        <v/>
      </c>
      <c r="N9" s="14"/>
    </row>
    <row r="10" customFormat="false" ht="15" hidden="false" customHeight="false" outlineLevel="0" collapsed="false">
      <c r="A10" s="14"/>
      <c r="B10" s="16"/>
      <c r="C10" s="14"/>
      <c r="D10" s="11"/>
      <c r="E10" s="11"/>
      <c r="F10" s="11"/>
      <c r="G10" s="11"/>
      <c r="H10" s="11" t="str">
        <f aca="false">IF($A10="","",$D10+$E10+$F10+$G10)</f>
        <v/>
      </c>
      <c r="I10" s="11" t="str">
        <f aca="false">IF($A10="","",SUMIFS('Sales Log'!$F$3:$F$503,'Sales Log'!$O$3:$O$503,$A10))</f>
        <v/>
      </c>
      <c r="J10" s="11" t="str">
        <f aca="false">IF($A10="","",SUMIFS('Sales Log'!$H$3:$H$503,'Sales Log'!$O$3:$O$503,$A10))</f>
        <v/>
      </c>
      <c r="K10" s="11" t="str">
        <f aca="false">IF($A10="","",SUMIFS('Sales Log'!$I$3:$I$503,'Sales Log'!$O$3:$O$503,$A10))</f>
        <v/>
      </c>
      <c r="L10" s="11" t="str">
        <f aca="false">IF($A10="","",$I10-$J10-$K10-$H10)</f>
        <v/>
      </c>
      <c r="M10" s="11" t="str">
        <f aca="false">IF($A10="","",IFERROR($H10/(1-$J10/$I10),$H10))</f>
        <v/>
      </c>
      <c r="N10" s="14"/>
    </row>
    <row r="11" customFormat="false" ht="15" hidden="false" customHeight="false" outlineLevel="0" collapsed="false">
      <c r="A11" s="14"/>
      <c r="B11" s="16"/>
      <c r="C11" s="14"/>
      <c r="D11" s="11"/>
      <c r="E11" s="11"/>
      <c r="F11" s="11"/>
      <c r="G11" s="11"/>
      <c r="H11" s="11" t="str">
        <f aca="false">IF($A11="","",$D11+$E11+$F11+$G11)</f>
        <v/>
      </c>
      <c r="I11" s="11" t="str">
        <f aca="false">IF($A11="","",SUMIFS('Sales Log'!$F$3:$F$503,'Sales Log'!$O$3:$O$503,$A11))</f>
        <v/>
      </c>
      <c r="J11" s="11" t="str">
        <f aca="false">IF($A11="","",SUMIFS('Sales Log'!$H$3:$H$503,'Sales Log'!$O$3:$O$503,$A11))</f>
        <v/>
      </c>
      <c r="K11" s="11" t="str">
        <f aca="false">IF($A11="","",SUMIFS('Sales Log'!$I$3:$I$503,'Sales Log'!$O$3:$O$503,$A11))</f>
        <v/>
      </c>
      <c r="L11" s="11" t="str">
        <f aca="false">IF($A11="","",$I11-$J11-$K11-$H11)</f>
        <v/>
      </c>
      <c r="M11" s="11" t="str">
        <f aca="false">IF($A11="","",IFERROR($H11/(1-$J11/$I11),$H11))</f>
        <v/>
      </c>
      <c r="N11" s="14"/>
    </row>
    <row r="12" customFormat="false" ht="15" hidden="false" customHeight="false" outlineLevel="0" collapsed="false">
      <c r="A12" s="14"/>
      <c r="B12" s="16"/>
      <c r="C12" s="14"/>
      <c r="D12" s="11"/>
      <c r="E12" s="11"/>
      <c r="F12" s="11"/>
      <c r="G12" s="11"/>
      <c r="H12" s="11" t="str">
        <f aca="false">IF($A12="","",$D12+$E12+$F12+$G12)</f>
        <v/>
      </c>
      <c r="I12" s="11" t="str">
        <f aca="false">IF($A12="","",SUMIFS('Sales Log'!$F$3:$F$503,'Sales Log'!$O$3:$O$503,$A12))</f>
        <v/>
      </c>
      <c r="J12" s="11" t="str">
        <f aca="false">IF($A12="","",SUMIFS('Sales Log'!$H$3:$H$503,'Sales Log'!$O$3:$O$503,$A12))</f>
        <v/>
      </c>
      <c r="K12" s="11" t="str">
        <f aca="false">IF($A12="","",SUMIFS('Sales Log'!$I$3:$I$503,'Sales Log'!$O$3:$O$503,$A12))</f>
        <v/>
      </c>
      <c r="L12" s="11" t="str">
        <f aca="false">IF($A12="","",$I12-$J12-$K12-$H12)</f>
        <v/>
      </c>
      <c r="M12" s="11" t="str">
        <f aca="false">IF($A12="","",IFERROR($H12/(1-$J12/$I12),$H12))</f>
        <v/>
      </c>
      <c r="N12" s="14"/>
    </row>
    <row r="13" customFormat="false" ht="15" hidden="false" customHeight="false" outlineLevel="0" collapsed="false">
      <c r="A13" s="14"/>
      <c r="B13" s="16"/>
      <c r="C13" s="14"/>
      <c r="D13" s="11"/>
      <c r="E13" s="11"/>
      <c r="F13" s="11"/>
      <c r="G13" s="11"/>
      <c r="H13" s="11" t="str">
        <f aca="false">IF($A13="","",$D13+$E13+$F13+$G13)</f>
        <v/>
      </c>
      <c r="I13" s="11" t="str">
        <f aca="false">IF($A13="","",SUMIFS('Sales Log'!$F$3:$F$503,'Sales Log'!$O$3:$O$503,$A13))</f>
        <v/>
      </c>
      <c r="J13" s="11" t="str">
        <f aca="false">IF($A13="","",SUMIFS('Sales Log'!$H$3:$H$503,'Sales Log'!$O$3:$O$503,$A13))</f>
        <v/>
      </c>
      <c r="K13" s="11" t="str">
        <f aca="false">IF($A13="","",SUMIFS('Sales Log'!$I$3:$I$503,'Sales Log'!$O$3:$O$503,$A13))</f>
        <v/>
      </c>
      <c r="L13" s="11" t="str">
        <f aca="false">IF($A13="","",$I13-$J13-$K13-$H13)</f>
        <v/>
      </c>
      <c r="M13" s="11" t="str">
        <f aca="false">IF($A13="","",IFERROR($H13/(1-$J13/$I13),$H13))</f>
        <v/>
      </c>
      <c r="N13" s="14"/>
    </row>
    <row r="14" customFormat="false" ht="15" hidden="false" customHeight="false" outlineLevel="0" collapsed="false">
      <c r="A14" s="14"/>
      <c r="B14" s="16"/>
      <c r="C14" s="14"/>
      <c r="D14" s="11"/>
      <c r="E14" s="11"/>
      <c r="F14" s="11"/>
      <c r="G14" s="11"/>
      <c r="H14" s="11" t="str">
        <f aca="false">IF($A14="","",$D14+$E14+$F14+$G14)</f>
        <v/>
      </c>
      <c r="I14" s="11" t="str">
        <f aca="false">IF($A14="","",SUMIFS('Sales Log'!$F$3:$F$503,'Sales Log'!$O$3:$O$503,$A14))</f>
        <v/>
      </c>
      <c r="J14" s="11" t="str">
        <f aca="false">IF($A14="","",SUMIFS('Sales Log'!$H$3:$H$503,'Sales Log'!$O$3:$O$503,$A14))</f>
        <v/>
      </c>
      <c r="K14" s="11" t="str">
        <f aca="false">IF($A14="","",SUMIFS('Sales Log'!$I$3:$I$503,'Sales Log'!$O$3:$O$503,$A14))</f>
        <v/>
      </c>
      <c r="L14" s="11" t="str">
        <f aca="false">IF($A14="","",$I14-$J14-$K14-$H14)</f>
        <v/>
      </c>
      <c r="M14" s="11" t="str">
        <f aca="false">IF($A14="","",IFERROR($H14/(1-$J14/$I14),$H14))</f>
        <v/>
      </c>
      <c r="N14" s="14"/>
    </row>
    <row r="15" customFormat="false" ht="15" hidden="false" customHeight="false" outlineLevel="0" collapsed="false">
      <c r="A15" s="14"/>
      <c r="B15" s="16"/>
      <c r="C15" s="14"/>
      <c r="D15" s="11"/>
      <c r="E15" s="11"/>
      <c r="F15" s="11"/>
      <c r="G15" s="11"/>
      <c r="H15" s="11" t="str">
        <f aca="false">IF($A15="","",$D15+$E15+$F15+$G15)</f>
        <v/>
      </c>
      <c r="I15" s="11" t="str">
        <f aca="false">IF($A15="","",SUMIFS('Sales Log'!$F$3:$F$503,'Sales Log'!$O$3:$O$503,$A15))</f>
        <v/>
      </c>
      <c r="J15" s="11" t="str">
        <f aca="false">IF($A15="","",SUMIFS('Sales Log'!$H$3:$H$503,'Sales Log'!$O$3:$O$503,$A15))</f>
        <v/>
      </c>
      <c r="K15" s="11" t="str">
        <f aca="false">IF($A15="","",SUMIFS('Sales Log'!$I$3:$I$503,'Sales Log'!$O$3:$O$503,$A15))</f>
        <v/>
      </c>
      <c r="L15" s="11" t="str">
        <f aca="false">IF($A15="","",$I15-$J15-$K15-$H15)</f>
        <v/>
      </c>
      <c r="M15" s="11" t="str">
        <f aca="false">IF($A15="","",IFERROR($H15/(1-$J15/$I15),$H15))</f>
        <v/>
      </c>
      <c r="N15" s="14"/>
    </row>
    <row r="16" customFormat="false" ht="15" hidden="false" customHeight="false" outlineLevel="0" collapsed="false">
      <c r="A16" s="14"/>
      <c r="B16" s="16"/>
      <c r="C16" s="14"/>
      <c r="D16" s="11"/>
      <c r="E16" s="11"/>
      <c r="F16" s="11"/>
      <c r="G16" s="11"/>
      <c r="H16" s="11" t="str">
        <f aca="false">IF($A16="","",$D16+$E16+$F16+$G16)</f>
        <v/>
      </c>
      <c r="I16" s="11" t="str">
        <f aca="false">IF($A16="","",SUMIFS('Sales Log'!$F$3:$F$503,'Sales Log'!$O$3:$O$503,$A16))</f>
        <v/>
      </c>
      <c r="J16" s="11" t="str">
        <f aca="false">IF($A16="","",SUMIFS('Sales Log'!$H$3:$H$503,'Sales Log'!$O$3:$O$503,$A16))</f>
        <v/>
      </c>
      <c r="K16" s="11" t="str">
        <f aca="false">IF($A16="","",SUMIFS('Sales Log'!$I$3:$I$503,'Sales Log'!$O$3:$O$503,$A16))</f>
        <v/>
      </c>
      <c r="L16" s="11" t="str">
        <f aca="false">IF($A16="","",$I16-$J16-$K16-$H16)</f>
        <v/>
      </c>
      <c r="M16" s="11" t="str">
        <f aca="false">IF($A16="","",IFERROR($H16/(1-$J16/$I16),$H16))</f>
        <v/>
      </c>
      <c r="N16" s="14"/>
    </row>
    <row r="17" customFormat="false" ht="15" hidden="false" customHeight="false" outlineLevel="0" collapsed="false">
      <c r="A17" s="14"/>
      <c r="B17" s="16"/>
      <c r="C17" s="14"/>
      <c r="D17" s="11"/>
      <c r="E17" s="11"/>
      <c r="F17" s="11"/>
      <c r="G17" s="11"/>
      <c r="H17" s="11" t="str">
        <f aca="false">IF($A17="","",$D17+$E17+$F17+$G17)</f>
        <v/>
      </c>
      <c r="I17" s="11" t="str">
        <f aca="false">IF($A17="","",SUMIFS('Sales Log'!$F$3:$F$503,'Sales Log'!$O$3:$O$503,$A17))</f>
        <v/>
      </c>
      <c r="J17" s="11" t="str">
        <f aca="false">IF($A17="","",SUMIFS('Sales Log'!$H$3:$H$503,'Sales Log'!$O$3:$O$503,$A17))</f>
        <v/>
      </c>
      <c r="K17" s="11" t="str">
        <f aca="false">IF($A17="","",SUMIFS('Sales Log'!$I$3:$I$503,'Sales Log'!$O$3:$O$503,$A17))</f>
        <v/>
      </c>
      <c r="L17" s="11" t="str">
        <f aca="false">IF($A17="","",$I17-$J17-$K17-$H17)</f>
        <v/>
      </c>
      <c r="M17" s="11" t="str">
        <f aca="false">IF($A17="","",IFERROR($H17/(1-$J17/$I17),$H17))</f>
        <v/>
      </c>
      <c r="N17" s="14"/>
    </row>
    <row r="18" customFormat="false" ht="15" hidden="false" customHeight="false" outlineLevel="0" collapsed="false">
      <c r="A18" s="14"/>
      <c r="B18" s="16"/>
      <c r="C18" s="14"/>
      <c r="D18" s="11"/>
      <c r="E18" s="11"/>
      <c r="F18" s="11"/>
      <c r="G18" s="11"/>
      <c r="H18" s="11" t="str">
        <f aca="false">IF($A18="","",$D18+$E18+$F18+$G18)</f>
        <v/>
      </c>
      <c r="I18" s="11" t="str">
        <f aca="false">IF($A18="","",SUMIFS('Sales Log'!$F$3:$F$503,'Sales Log'!$O$3:$O$503,$A18))</f>
        <v/>
      </c>
      <c r="J18" s="11" t="str">
        <f aca="false">IF($A18="","",SUMIFS('Sales Log'!$H$3:$H$503,'Sales Log'!$O$3:$O$503,$A18))</f>
        <v/>
      </c>
      <c r="K18" s="11" t="str">
        <f aca="false">IF($A18="","",SUMIFS('Sales Log'!$I$3:$I$503,'Sales Log'!$O$3:$O$503,$A18))</f>
        <v/>
      </c>
      <c r="L18" s="11" t="str">
        <f aca="false">IF($A18="","",$I18-$J18-$K18-$H18)</f>
        <v/>
      </c>
      <c r="M18" s="11" t="str">
        <f aca="false">IF($A18="","",IFERROR($H18/(1-$J18/$I18),$H18))</f>
        <v/>
      </c>
      <c r="N18" s="14"/>
    </row>
    <row r="19" customFormat="false" ht="15" hidden="false" customHeight="false" outlineLevel="0" collapsed="false">
      <c r="A19" s="14"/>
      <c r="B19" s="16"/>
      <c r="C19" s="14"/>
      <c r="D19" s="11"/>
      <c r="E19" s="11"/>
      <c r="F19" s="11"/>
      <c r="G19" s="11"/>
      <c r="H19" s="11" t="str">
        <f aca="false">IF($A19="","",$D19+$E19+$F19+$G19)</f>
        <v/>
      </c>
      <c r="I19" s="11" t="str">
        <f aca="false">IF($A19="","",SUMIFS('Sales Log'!$F$3:$F$503,'Sales Log'!$O$3:$O$503,$A19))</f>
        <v/>
      </c>
      <c r="J19" s="11" t="str">
        <f aca="false">IF($A19="","",SUMIFS('Sales Log'!$H$3:$H$503,'Sales Log'!$O$3:$O$503,$A19))</f>
        <v/>
      </c>
      <c r="K19" s="11" t="str">
        <f aca="false">IF($A19="","",SUMIFS('Sales Log'!$I$3:$I$503,'Sales Log'!$O$3:$O$503,$A19))</f>
        <v/>
      </c>
      <c r="L19" s="11" t="str">
        <f aca="false">IF($A19="","",$I19-$J19-$K19-$H19)</f>
        <v/>
      </c>
      <c r="M19" s="11" t="str">
        <f aca="false">IF($A19="","",IFERROR($H19/(1-$J19/$I19),$H19))</f>
        <v/>
      </c>
      <c r="N19" s="14"/>
    </row>
    <row r="20" customFormat="false" ht="15" hidden="false" customHeight="false" outlineLevel="0" collapsed="false">
      <c r="A20" s="14"/>
      <c r="B20" s="16"/>
      <c r="C20" s="14"/>
      <c r="D20" s="11"/>
      <c r="E20" s="11"/>
      <c r="F20" s="11"/>
      <c r="G20" s="11"/>
      <c r="H20" s="11" t="str">
        <f aca="false">IF($A20="","",$D20+$E20+$F20+$G20)</f>
        <v/>
      </c>
      <c r="I20" s="11" t="str">
        <f aca="false">IF($A20="","",SUMIFS('Sales Log'!$F$3:$F$503,'Sales Log'!$O$3:$O$503,$A20))</f>
        <v/>
      </c>
      <c r="J20" s="11" t="str">
        <f aca="false">IF($A20="","",SUMIFS('Sales Log'!$H$3:$H$503,'Sales Log'!$O$3:$O$503,$A20))</f>
        <v/>
      </c>
      <c r="K20" s="11" t="str">
        <f aca="false">IF($A20="","",SUMIFS('Sales Log'!$I$3:$I$503,'Sales Log'!$O$3:$O$503,$A20))</f>
        <v/>
      </c>
      <c r="L20" s="11" t="str">
        <f aca="false">IF($A20="","",$I20-$J20-$K20-$H20)</f>
        <v/>
      </c>
      <c r="M20" s="11" t="str">
        <f aca="false">IF($A20="","",IFERROR($H20/(1-$J20/$I20),$H20))</f>
        <v/>
      </c>
      <c r="N20" s="14"/>
    </row>
    <row r="21" customFormat="false" ht="15" hidden="false" customHeight="false" outlineLevel="0" collapsed="false">
      <c r="A21" s="14"/>
      <c r="B21" s="16"/>
      <c r="C21" s="14"/>
      <c r="D21" s="11"/>
      <c r="E21" s="11"/>
      <c r="F21" s="11"/>
      <c r="G21" s="11"/>
      <c r="H21" s="11" t="str">
        <f aca="false">IF($A21="","",$D21+$E21+$F21+$G21)</f>
        <v/>
      </c>
      <c r="I21" s="11" t="str">
        <f aca="false">IF($A21="","",SUMIFS('Sales Log'!$F$3:$F$503,'Sales Log'!$O$3:$O$503,$A21))</f>
        <v/>
      </c>
      <c r="J21" s="11" t="str">
        <f aca="false">IF($A21="","",SUMIFS('Sales Log'!$H$3:$H$503,'Sales Log'!$O$3:$O$503,$A21))</f>
        <v/>
      </c>
      <c r="K21" s="11" t="str">
        <f aca="false">IF($A21="","",SUMIFS('Sales Log'!$I$3:$I$503,'Sales Log'!$O$3:$O$503,$A21))</f>
        <v/>
      </c>
      <c r="L21" s="11" t="str">
        <f aca="false">IF($A21="","",$I21-$J21-$K21-$H21)</f>
        <v/>
      </c>
      <c r="M21" s="11" t="str">
        <f aca="false">IF($A21="","",IFERROR($H21/(1-$J21/$I21),$H21))</f>
        <v/>
      </c>
      <c r="N21" s="14"/>
    </row>
    <row r="22" customFormat="false" ht="15" hidden="false" customHeight="false" outlineLevel="0" collapsed="false">
      <c r="A22" s="14"/>
      <c r="B22" s="16"/>
      <c r="C22" s="14"/>
      <c r="D22" s="11"/>
      <c r="E22" s="11"/>
      <c r="F22" s="11"/>
      <c r="G22" s="11"/>
      <c r="H22" s="11" t="str">
        <f aca="false">IF($A22="","",$D22+$E22+$F22+$G22)</f>
        <v/>
      </c>
      <c r="I22" s="11" t="str">
        <f aca="false">IF($A22="","",SUMIFS('Sales Log'!$F$3:$F$503,'Sales Log'!$O$3:$O$503,$A22))</f>
        <v/>
      </c>
      <c r="J22" s="11" t="str">
        <f aca="false">IF($A22="","",SUMIFS('Sales Log'!$H$3:$H$503,'Sales Log'!$O$3:$O$503,$A22))</f>
        <v/>
      </c>
      <c r="K22" s="11" t="str">
        <f aca="false">IF($A22="","",SUMIFS('Sales Log'!$I$3:$I$503,'Sales Log'!$O$3:$O$503,$A22))</f>
        <v/>
      </c>
      <c r="L22" s="11" t="str">
        <f aca="false">IF($A22="","",$I22-$J22-$K22-$H22)</f>
        <v/>
      </c>
      <c r="M22" s="11" t="str">
        <f aca="false">IF($A22="","",IFERROR($H22/(1-$J22/$I22),$H22))</f>
        <v/>
      </c>
      <c r="N22" s="14"/>
    </row>
    <row r="23" customFormat="false" ht="15" hidden="false" customHeight="false" outlineLevel="0" collapsed="false">
      <c r="A23" s="14"/>
      <c r="B23" s="16"/>
      <c r="C23" s="14"/>
      <c r="D23" s="11"/>
      <c r="E23" s="11"/>
      <c r="F23" s="11"/>
      <c r="G23" s="11"/>
      <c r="H23" s="11" t="str">
        <f aca="false">IF($A23="","",$D23+$E23+$F23+$G23)</f>
        <v/>
      </c>
      <c r="I23" s="11" t="str">
        <f aca="false">IF($A23="","",SUMIFS('Sales Log'!$F$3:$F$503,'Sales Log'!$O$3:$O$503,$A23))</f>
        <v/>
      </c>
      <c r="J23" s="11" t="str">
        <f aca="false">IF($A23="","",SUMIFS('Sales Log'!$H$3:$H$503,'Sales Log'!$O$3:$O$503,$A23))</f>
        <v/>
      </c>
      <c r="K23" s="11" t="str">
        <f aca="false">IF($A23="","",SUMIFS('Sales Log'!$I$3:$I$503,'Sales Log'!$O$3:$O$503,$A23))</f>
        <v/>
      </c>
      <c r="L23" s="11" t="str">
        <f aca="false">IF($A23="","",$I23-$J23-$K23-$H23)</f>
        <v/>
      </c>
      <c r="M23" s="11" t="str">
        <f aca="false">IF($A23="","",IFERROR($H23/(1-$J23/$I23),$H23))</f>
        <v/>
      </c>
      <c r="N23" s="14"/>
    </row>
    <row r="24" customFormat="false" ht="15" hidden="false" customHeight="false" outlineLevel="0" collapsed="false">
      <c r="A24" s="14"/>
      <c r="B24" s="16"/>
      <c r="C24" s="14"/>
      <c r="D24" s="11"/>
      <c r="E24" s="11"/>
      <c r="F24" s="11"/>
      <c r="G24" s="11"/>
      <c r="H24" s="11" t="str">
        <f aca="false">IF($A24="","",$D24+$E24+$F24+$G24)</f>
        <v/>
      </c>
      <c r="I24" s="11" t="str">
        <f aca="false">IF($A24="","",SUMIFS('Sales Log'!$F$3:$F$503,'Sales Log'!$O$3:$O$503,$A24))</f>
        <v/>
      </c>
      <c r="J24" s="11" t="str">
        <f aca="false">IF($A24="","",SUMIFS('Sales Log'!$H$3:$H$503,'Sales Log'!$O$3:$O$503,$A24))</f>
        <v/>
      </c>
      <c r="K24" s="11" t="str">
        <f aca="false">IF($A24="","",SUMIFS('Sales Log'!$I$3:$I$503,'Sales Log'!$O$3:$O$503,$A24))</f>
        <v/>
      </c>
      <c r="L24" s="11" t="str">
        <f aca="false">IF($A24="","",$I24-$J24-$K24-$H24)</f>
        <v/>
      </c>
      <c r="M24" s="11" t="str">
        <f aca="false">IF($A24="","",IFERROR($H24/(1-$J24/$I24),$H24))</f>
        <v/>
      </c>
      <c r="N24" s="14"/>
    </row>
    <row r="25" customFormat="false" ht="15" hidden="false" customHeight="false" outlineLevel="0" collapsed="false">
      <c r="A25" s="14"/>
      <c r="B25" s="16"/>
      <c r="C25" s="14"/>
      <c r="D25" s="11"/>
      <c r="E25" s="11"/>
      <c r="F25" s="11"/>
      <c r="G25" s="11"/>
      <c r="H25" s="11" t="str">
        <f aca="false">IF($A25="","",$D25+$E25+$F25+$G25)</f>
        <v/>
      </c>
      <c r="I25" s="11" t="str">
        <f aca="false">IF($A25="","",SUMIFS('Sales Log'!$F$3:$F$503,'Sales Log'!$O$3:$O$503,$A25))</f>
        <v/>
      </c>
      <c r="J25" s="11" t="str">
        <f aca="false">IF($A25="","",SUMIFS('Sales Log'!$H$3:$H$503,'Sales Log'!$O$3:$O$503,$A25))</f>
        <v/>
      </c>
      <c r="K25" s="11" t="str">
        <f aca="false">IF($A25="","",SUMIFS('Sales Log'!$I$3:$I$503,'Sales Log'!$O$3:$O$503,$A25))</f>
        <v/>
      </c>
      <c r="L25" s="11" t="str">
        <f aca="false">IF($A25="","",$I25-$J25-$K25-$H25)</f>
        <v/>
      </c>
      <c r="M25" s="11" t="str">
        <f aca="false">IF($A25="","",IFERROR($H25/(1-$J25/$I25),$H25))</f>
        <v/>
      </c>
      <c r="N25" s="14"/>
    </row>
    <row r="26" customFormat="false" ht="15" hidden="false" customHeight="false" outlineLevel="0" collapsed="false">
      <c r="A26" s="14"/>
      <c r="B26" s="16"/>
      <c r="C26" s="14"/>
      <c r="D26" s="11"/>
      <c r="E26" s="11"/>
      <c r="F26" s="11"/>
      <c r="G26" s="11"/>
      <c r="H26" s="11" t="str">
        <f aca="false">IF($A26="","",$D26+$E26+$F26+$G26)</f>
        <v/>
      </c>
      <c r="I26" s="11" t="str">
        <f aca="false">IF($A26="","",SUMIFS('Sales Log'!$F$3:$F$503,'Sales Log'!$O$3:$O$503,$A26))</f>
        <v/>
      </c>
      <c r="J26" s="11" t="str">
        <f aca="false">IF($A26="","",SUMIFS('Sales Log'!$H$3:$H$503,'Sales Log'!$O$3:$O$503,$A26))</f>
        <v/>
      </c>
      <c r="K26" s="11" t="str">
        <f aca="false">IF($A26="","",SUMIFS('Sales Log'!$I$3:$I$503,'Sales Log'!$O$3:$O$503,$A26))</f>
        <v/>
      </c>
      <c r="L26" s="11" t="str">
        <f aca="false">IF($A26="","",$I26-$J26-$K26-$H26)</f>
        <v/>
      </c>
      <c r="M26" s="11" t="str">
        <f aca="false">IF($A26="","",IFERROR($H26/(1-$J26/$I26),$H26))</f>
        <v/>
      </c>
      <c r="N26" s="14"/>
    </row>
    <row r="27" customFormat="false" ht="15" hidden="false" customHeight="false" outlineLevel="0" collapsed="false">
      <c r="A27" s="14"/>
      <c r="B27" s="16"/>
      <c r="C27" s="14"/>
      <c r="D27" s="11"/>
      <c r="E27" s="11"/>
      <c r="F27" s="11"/>
      <c r="G27" s="11"/>
      <c r="H27" s="11" t="str">
        <f aca="false">IF($A27="","",$D27+$E27+$F27+$G27)</f>
        <v/>
      </c>
      <c r="I27" s="11" t="str">
        <f aca="false">IF($A27="","",SUMIFS('Sales Log'!$F$3:$F$503,'Sales Log'!$O$3:$O$503,$A27))</f>
        <v/>
      </c>
      <c r="J27" s="11" t="str">
        <f aca="false">IF($A27="","",SUMIFS('Sales Log'!$H$3:$H$503,'Sales Log'!$O$3:$O$503,$A27))</f>
        <v/>
      </c>
      <c r="K27" s="11" t="str">
        <f aca="false">IF($A27="","",SUMIFS('Sales Log'!$I$3:$I$503,'Sales Log'!$O$3:$O$503,$A27))</f>
        <v/>
      </c>
      <c r="L27" s="11" t="str">
        <f aca="false">IF($A27="","",$I27-$J27-$K27-$H27)</f>
        <v/>
      </c>
      <c r="M27" s="11" t="str">
        <f aca="false">IF($A27="","",IFERROR($H27/(1-$J27/$I27),$H27))</f>
        <v/>
      </c>
      <c r="N27" s="14"/>
    </row>
    <row r="28" customFormat="false" ht="15" hidden="false" customHeight="false" outlineLevel="0" collapsed="false">
      <c r="A28" s="14"/>
      <c r="B28" s="16"/>
      <c r="C28" s="14"/>
      <c r="D28" s="11"/>
      <c r="E28" s="11"/>
      <c r="F28" s="11"/>
      <c r="G28" s="11"/>
      <c r="H28" s="11" t="str">
        <f aca="false">IF($A28="","",$D28+$E28+$F28+$G28)</f>
        <v/>
      </c>
      <c r="I28" s="11" t="str">
        <f aca="false">IF($A28="","",SUMIFS('Sales Log'!$F$3:$F$503,'Sales Log'!$O$3:$O$503,$A28))</f>
        <v/>
      </c>
      <c r="J28" s="11" t="str">
        <f aca="false">IF($A28="","",SUMIFS('Sales Log'!$H$3:$H$503,'Sales Log'!$O$3:$O$503,$A28))</f>
        <v/>
      </c>
      <c r="K28" s="11" t="str">
        <f aca="false">IF($A28="","",SUMIFS('Sales Log'!$I$3:$I$503,'Sales Log'!$O$3:$O$503,$A28))</f>
        <v/>
      </c>
      <c r="L28" s="11" t="str">
        <f aca="false">IF($A28="","",$I28-$J28-$K28-$H28)</f>
        <v/>
      </c>
      <c r="M28" s="11" t="str">
        <f aca="false">IF($A28="","",IFERROR($H28/(1-$J28/$I28),$H28))</f>
        <v/>
      </c>
      <c r="N28" s="14"/>
    </row>
    <row r="29" customFormat="false" ht="15" hidden="false" customHeight="false" outlineLevel="0" collapsed="false">
      <c r="A29" s="14"/>
      <c r="B29" s="16"/>
      <c r="C29" s="14"/>
      <c r="D29" s="11"/>
      <c r="E29" s="11"/>
      <c r="F29" s="11"/>
      <c r="G29" s="11"/>
      <c r="H29" s="11" t="str">
        <f aca="false">IF($A29="","",$D29+$E29+$F29+$G29)</f>
        <v/>
      </c>
      <c r="I29" s="11" t="str">
        <f aca="false">IF($A29="","",SUMIFS('Sales Log'!$F$3:$F$503,'Sales Log'!$O$3:$O$503,$A29))</f>
        <v/>
      </c>
      <c r="J29" s="11" t="str">
        <f aca="false">IF($A29="","",SUMIFS('Sales Log'!$H$3:$H$503,'Sales Log'!$O$3:$O$503,$A29))</f>
        <v/>
      </c>
      <c r="K29" s="11" t="str">
        <f aca="false">IF($A29="","",SUMIFS('Sales Log'!$I$3:$I$503,'Sales Log'!$O$3:$O$503,$A29))</f>
        <v/>
      </c>
      <c r="L29" s="11" t="str">
        <f aca="false">IF($A29="","",$I29-$J29-$K29-$H29)</f>
        <v/>
      </c>
      <c r="M29" s="11" t="str">
        <f aca="false">IF($A29="","",IFERROR($H29/(1-$J29/$I29),$H29))</f>
        <v/>
      </c>
      <c r="N29" s="14"/>
    </row>
    <row r="30" customFormat="false" ht="15" hidden="false" customHeight="false" outlineLevel="0" collapsed="false">
      <c r="A30" s="14"/>
      <c r="B30" s="16"/>
      <c r="C30" s="14"/>
      <c r="D30" s="11"/>
      <c r="E30" s="11"/>
      <c r="F30" s="11"/>
      <c r="G30" s="11"/>
      <c r="H30" s="11" t="str">
        <f aca="false">IF($A30="","",$D30+$E30+$F30+$G30)</f>
        <v/>
      </c>
      <c r="I30" s="11" t="str">
        <f aca="false">IF($A30="","",SUMIFS('Sales Log'!$F$3:$F$503,'Sales Log'!$O$3:$O$503,$A30))</f>
        <v/>
      </c>
      <c r="J30" s="11" t="str">
        <f aca="false">IF($A30="","",SUMIFS('Sales Log'!$H$3:$H$503,'Sales Log'!$O$3:$O$503,$A30))</f>
        <v/>
      </c>
      <c r="K30" s="11" t="str">
        <f aca="false">IF($A30="","",SUMIFS('Sales Log'!$I$3:$I$503,'Sales Log'!$O$3:$O$503,$A30))</f>
        <v/>
      </c>
      <c r="L30" s="11" t="str">
        <f aca="false">IF($A30="","",$I30-$J30-$K30-$H30)</f>
        <v/>
      </c>
      <c r="M30" s="11" t="str">
        <f aca="false">IF($A30="","",IFERROR($H30/(1-$J30/$I30),$H30))</f>
        <v/>
      </c>
      <c r="N30" s="14"/>
    </row>
    <row r="31" customFormat="false" ht="15" hidden="false" customHeight="false" outlineLevel="0" collapsed="false">
      <c r="A31" s="14"/>
      <c r="B31" s="16"/>
      <c r="C31" s="14"/>
      <c r="D31" s="11"/>
      <c r="E31" s="11"/>
      <c r="F31" s="11"/>
      <c r="G31" s="11"/>
      <c r="H31" s="11" t="str">
        <f aca="false">IF($A31="","",$D31+$E31+$F31+$G31)</f>
        <v/>
      </c>
      <c r="I31" s="11" t="str">
        <f aca="false">IF($A31="","",SUMIFS('Sales Log'!$F$3:$F$503,'Sales Log'!$O$3:$O$503,$A31))</f>
        <v/>
      </c>
      <c r="J31" s="11" t="str">
        <f aca="false">IF($A31="","",SUMIFS('Sales Log'!$H$3:$H$503,'Sales Log'!$O$3:$O$503,$A31))</f>
        <v/>
      </c>
      <c r="K31" s="11" t="str">
        <f aca="false">IF($A31="","",SUMIFS('Sales Log'!$I$3:$I$503,'Sales Log'!$O$3:$O$503,$A31))</f>
        <v/>
      </c>
      <c r="L31" s="11" t="str">
        <f aca="false">IF($A31="","",$I31-$J31-$K31-$H31)</f>
        <v/>
      </c>
      <c r="M31" s="11" t="str">
        <f aca="false">IF($A31="","",IFERROR($H31/(1-$J31/$I31),$H31))</f>
        <v/>
      </c>
      <c r="N31" s="14"/>
    </row>
    <row r="32" customFormat="false" ht="15" hidden="false" customHeight="false" outlineLevel="0" collapsed="false">
      <c r="A32" s="14"/>
      <c r="B32" s="16"/>
      <c r="C32" s="14"/>
      <c r="D32" s="11"/>
      <c r="E32" s="11"/>
      <c r="F32" s="11"/>
      <c r="G32" s="11"/>
      <c r="H32" s="11" t="str">
        <f aca="false">IF($A32="","",$D32+$E32+$F32+$G32)</f>
        <v/>
      </c>
      <c r="I32" s="11" t="str">
        <f aca="false">IF($A32="","",SUMIFS('Sales Log'!$F$3:$F$503,'Sales Log'!$O$3:$O$503,$A32))</f>
        <v/>
      </c>
      <c r="J32" s="11" t="str">
        <f aca="false">IF($A32="","",SUMIFS('Sales Log'!$H$3:$H$503,'Sales Log'!$O$3:$O$503,$A32))</f>
        <v/>
      </c>
      <c r="K32" s="11" t="str">
        <f aca="false">IF($A32="","",SUMIFS('Sales Log'!$I$3:$I$503,'Sales Log'!$O$3:$O$503,$A32))</f>
        <v/>
      </c>
      <c r="L32" s="11" t="str">
        <f aca="false">IF($A32="","",$I32-$J32-$K32-$H32)</f>
        <v/>
      </c>
      <c r="M32" s="11" t="str">
        <f aca="false">IF($A32="","",IFERROR($H32/(1-$J32/$I32),$H32))</f>
        <v/>
      </c>
      <c r="N32" s="14"/>
    </row>
    <row r="33" customFormat="false" ht="15" hidden="false" customHeight="false" outlineLevel="0" collapsed="false">
      <c r="A33" s="14"/>
      <c r="B33" s="16"/>
      <c r="C33" s="14"/>
      <c r="D33" s="11"/>
      <c r="E33" s="11"/>
      <c r="F33" s="11"/>
      <c r="G33" s="11"/>
      <c r="H33" s="11" t="str">
        <f aca="false">IF($A33="","",$D33+$E33+$F33+$G33)</f>
        <v/>
      </c>
      <c r="I33" s="11" t="str">
        <f aca="false">IF($A33="","",SUMIFS('Sales Log'!$F$3:$F$503,'Sales Log'!$O$3:$O$503,$A33))</f>
        <v/>
      </c>
      <c r="J33" s="11" t="str">
        <f aca="false">IF($A33="","",SUMIFS('Sales Log'!$H$3:$H$503,'Sales Log'!$O$3:$O$503,$A33))</f>
        <v/>
      </c>
      <c r="K33" s="11" t="str">
        <f aca="false">IF($A33="","",SUMIFS('Sales Log'!$I$3:$I$503,'Sales Log'!$O$3:$O$503,$A33))</f>
        <v/>
      </c>
      <c r="L33" s="11" t="str">
        <f aca="false">IF($A33="","",$I33-$J33-$K33-$H33)</f>
        <v/>
      </c>
      <c r="M33" s="11" t="str">
        <f aca="false">IF($A33="","",IFERROR($H33/(1-$J33/$I33),$H33))</f>
        <v/>
      </c>
      <c r="N33" s="14"/>
    </row>
    <row r="34" customFormat="false" ht="15" hidden="false" customHeight="false" outlineLevel="0" collapsed="false">
      <c r="A34" s="14"/>
      <c r="B34" s="16"/>
      <c r="C34" s="14"/>
      <c r="D34" s="11"/>
      <c r="E34" s="11"/>
      <c r="F34" s="11"/>
      <c r="G34" s="11"/>
      <c r="H34" s="11" t="str">
        <f aca="false">IF($A34="","",$D34+$E34+$F34+$G34)</f>
        <v/>
      </c>
      <c r="I34" s="11" t="str">
        <f aca="false">IF($A34="","",SUMIFS('Sales Log'!$F$3:$F$503,'Sales Log'!$O$3:$O$503,$A34))</f>
        <v/>
      </c>
      <c r="J34" s="11" t="str">
        <f aca="false">IF($A34="","",SUMIFS('Sales Log'!$H$3:$H$503,'Sales Log'!$O$3:$O$503,$A34))</f>
        <v/>
      </c>
      <c r="K34" s="11" t="str">
        <f aca="false">IF($A34="","",SUMIFS('Sales Log'!$I$3:$I$503,'Sales Log'!$O$3:$O$503,$A34))</f>
        <v/>
      </c>
      <c r="L34" s="11" t="str">
        <f aca="false">IF($A34="","",$I34-$J34-$K34-$H34)</f>
        <v/>
      </c>
      <c r="M34" s="11" t="str">
        <f aca="false">IF($A34="","",IFERROR($H34/(1-$J34/$I34),$H34))</f>
        <v/>
      </c>
      <c r="N34" s="14"/>
    </row>
    <row r="35" customFormat="false" ht="15" hidden="false" customHeight="false" outlineLevel="0" collapsed="false">
      <c r="A35" s="14"/>
      <c r="B35" s="16"/>
      <c r="C35" s="14"/>
      <c r="D35" s="11"/>
      <c r="E35" s="11"/>
      <c r="F35" s="11"/>
      <c r="G35" s="11"/>
      <c r="H35" s="11" t="str">
        <f aca="false">IF($A35="","",$D35+$E35+$F35+$G35)</f>
        <v/>
      </c>
      <c r="I35" s="11" t="str">
        <f aca="false">IF($A35="","",SUMIFS('Sales Log'!$F$3:$F$503,'Sales Log'!$O$3:$O$503,$A35))</f>
        <v/>
      </c>
      <c r="J35" s="11" t="str">
        <f aca="false">IF($A35="","",SUMIFS('Sales Log'!$H$3:$H$503,'Sales Log'!$O$3:$O$503,$A35))</f>
        <v/>
      </c>
      <c r="K35" s="11" t="str">
        <f aca="false">IF($A35="","",SUMIFS('Sales Log'!$I$3:$I$503,'Sales Log'!$O$3:$O$503,$A35))</f>
        <v/>
      </c>
      <c r="L35" s="11" t="str">
        <f aca="false">IF($A35="","",$I35-$J35-$K35-$H35)</f>
        <v/>
      </c>
      <c r="M35" s="11" t="str">
        <f aca="false">IF($A35="","",IFERROR($H35/(1-$J35/$I35),$H35))</f>
        <v/>
      </c>
      <c r="N35" s="14"/>
    </row>
    <row r="36" customFormat="false" ht="15" hidden="false" customHeight="false" outlineLevel="0" collapsed="false">
      <c r="A36" s="14"/>
      <c r="B36" s="16"/>
      <c r="C36" s="14"/>
      <c r="D36" s="11"/>
      <c r="E36" s="11"/>
      <c r="F36" s="11"/>
      <c r="G36" s="11"/>
      <c r="H36" s="11" t="str">
        <f aca="false">IF($A36="","",$D36+$E36+$F36+$G36)</f>
        <v/>
      </c>
      <c r="I36" s="11" t="str">
        <f aca="false">IF($A36="","",SUMIFS('Sales Log'!$F$3:$F$503,'Sales Log'!$O$3:$O$503,$A36))</f>
        <v/>
      </c>
      <c r="J36" s="11" t="str">
        <f aca="false">IF($A36="","",SUMIFS('Sales Log'!$H$3:$H$503,'Sales Log'!$O$3:$O$503,$A36))</f>
        <v/>
      </c>
      <c r="K36" s="11" t="str">
        <f aca="false">IF($A36="","",SUMIFS('Sales Log'!$I$3:$I$503,'Sales Log'!$O$3:$O$503,$A36))</f>
        <v/>
      </c>
      <c r="L36" s="11" t="str">
        <f aca="false">IF($A36="","",$I36-$J36-$K36-$H36)</f>
        <v/>
      </c>
      <c r="M36" s="11" t="str">
        <f aca="false">IF($A36="","",IFERROR($H36/(1-$J36/$I36),$H36))</f>
        <v/>
      </c>
      <c r="N36" s="14"/>
    </row>
    <row r="37" customFormat="false" ht="15" hidden="false" customHeight="false" outlineLevel="0" collapsed="false">
      <c r="A37" s="14"/>
      <c r="B37" s="16"/>
      <c r="C37" s="14"/>
      <c r="D37" s="11"/>
      <c r="E37" s="11"/>
      <c r="F37" s="11"/>
      <c r="G37" s="11"/>
      <c r="H37" s="11" t="str">
        <f aca="false">IF($A37="","",$D37+$E37+$F37+$G37)</f>
        <v/>
      </c>
      <c r="I37" s="11" t="str">
        <f aca="false">IF($A37="","",SUMIFS('Sales Log'!$F$3:$F$503,'Sales Log'!$O$3:$O$503,$A37))</f>
        <v/>
      </c>
      <c r="J37" s="11" t="str">
        <f aca="false">IF($A37="","",SUMIFS('Sales Log'!$H$3:$H$503,'Sales Log'!$O$3:$O$503,$A37))</f>
        <v/>
      </c>
      <c r="K37" s="11" t="str">
        <f aca="false">IF($A37="","",SUMIFS('Sales Log'!$I$3:$I$503,'Sales Log'!$O$3:$O$503,$A37))</f>
        <v/>
      </c>
      <c r="L37" s="11" t="str">
        <f aca="false">IF($A37="","",$I37-$J37-$K37-$H37)</f>
        <v/>
      </c>
      <c r="M37" s="11" t="str">
        <f aca="false">IF($A37="","",IFERROR($H37/(1-$J37/$I37),$H37))</f>
        <v/>
      </c>
      <c r="N37" s="14"/>
    </row>
    <row r="38" customFormat="false" ht="15" hidden="false" customHeight="false" outlineLevel="0" collapsed="false">
      <c r="A38" s="14"/>
      <c r="B38" s="16"/>
      <c r="C38" s="14"/>
      <c r="D38" s="11"/>
      <c r="E38" s="11"/>
      <c r="F38" s="11"/>
      <c r="G38" s="11"/>
      <c r="H38" s="11" t="str">
        <f aca="false">IF($A38="","",$D38+$E38+$F38+$G38)</f>
        <v/>
      </c>
      <c r="I38" s="11" t="str">
        <f aca="false">IF($A38="","",SUMIFS('Sales Log'!$F$3:$F$503,'Sales Log'!$O$3:$O$503,$A38))</f>
        <v/>
      </c>
      <c r="J38" s="11" t="str">
        <f aca="false">IF($A38="","",SUMIFS('Sales Log'!$H$3:$H$503,'Sales Log'!$O$3:$O$503,$A38))</f>
        <v/>
      </c>
      <c r="K38" s="11" t="str">
        <f aca="false">IF($A38="","",SUMIFS('Sales Log'!$I$3:$I$503,'Sales Log'!$O$3:$O$503,$A38))</f>
        <v/>
      </c>
      <c r="L38" s="11" t="str">
        <f aca="false">IF($A38="","",$I38-$J38-$K38-$H38)</f>
        <v/>
      </c>
      <c r="M38" s="11" t="str">
        <f aca="false">IF($A38="","",IFERROR($H38/(1-$J38/$I38),$H38))</f>
        <v/>
      </c>
      <c r="N38" s="14"/>
    </row>
    <row r="39" customFormat="false" ht="15" hidden="false" customHeight="false" outlineLevel="0" collapsed="false">
      <c r="A39" s="14"/>
      <c r="B39" s="16"/>
      <c r="C39" s="14"/>
      <c r="D39" s="11"/>
      <c r="E39" s="11"/>
      <c r="F39" s="11"/>
      <c r="G39" s="11"/>
      <c r="H39" s="11" t="str">
        <f aca="false">IF($A39="","",$D39+$E39+$F39+$G39)</f>
        <v/>
      </c>
      <c r="I39" s="11" t="str">
        <f aca="false">IF($A39="","",SUMIFS('Sales Log'!$F$3:$F$503,'Sales Log'!$O$3:$O$503,$A39))</f>
        <v/>
      </c>
      <c r="J39" s="11" t="str">
        <f aca="false">IF($A39="","",SUMIFS('Sales Log'!$H$3:$H$503,'Sales Log'!$O$3:$O$503,$A39))</f>
        <v/>
      </c>
      <c r="K39" s="11" t="str">
        <f aca="false">IF($A39="","",SUMIFS('Sales Log'!$I$3:$I$503,'Sales Log'!$O$3:$O$503,$A39))</f>
        <v/>
      </c>
      <c r="L39" s="11" t="str">
        <f aca="false">IF($A39="","",$I39-$J39-$K39-$H39)</f>
        <v/>
      </c>
      <c r="M39" s="11" t="str">
        <f aca="false">IF($A39="","",IFERROR($H39/(1-$J39/$I39),$H39))</f>
        <v/>
      </c>
      <c r="N39" s="14"/>
    </row>
    <row r="40" customFormat="false" ht="15" hidden="false" customHeight="false" outlineLevel="0" collapsed="false">
      <c r="A40" s="14"/>
      <c r="B40" s="16"/>
      <c r="C40" s="14"/>
      <c r="D40" s="11"/>
      <c r="E40" s="11"/>
      <c r="F40" s="11"/>
      <c r="G40" s="11"/>
      <c r="H40" s="11" t="str">
        <f aca="false">IF($A40="","",$D40+$E40+$F40+$G40)</f>
        <v/>
      </c>
      <c r="I40" s="11" t="str">
        <f aca="false">IF($A40="","",SUMIFS('Sales Log'!$F$3:$F$503,'Sales Log'!$O$3:$O$503,$A40))</f>
        <v/>
      </c>
      <c r="J40" s="11" t="str">
        <f aca="false">IF($A40="","",SUMIFS('Sales Log'!$H$3:$H$503,'Sales Log'!$O$3:$O$503,$A40))</f>
        <v/>
      </c>
      <c r="K40" s="11" t="str">
        <f aca="false">IF($A40="","",SUMIFS('Sales Log'!$I$3:$I$503,'Sales Log'!$O$3:$O$503,$A40))</f>
        <v/>
      </c>
      <c r="L40" s="11" t="str">
        <f aca="false">IF($A40="","",$I40-$J40-$K40-$H40)</f>
        <v/>
      </c>
      <c r="M40" s="11" t="str">
        <f aca="false">IF($A40="","",IFERROR($H40/(1-$J40/$I40),$H40))</f>
        <v/>
      </c>
      <c r="N40" s="14"/>
    </row>
    <row r="41" customFormat="false" ht="15" hidden="false" customHeight="false" outlineLevel="0" collapsed="false">
      <c r="A41" s="14"/>
      <c r="B41" s="16"/>
      <c r="C41" s="14"/>
      <c r="D41" s="11"/>
      <c r="E41" s="11"/>
      <c r="F41" s="11"/>
      <c r="G41" s="11"/>
      <c r="H41" s="11" t="str">
        <f aca="false">IF($A41="","",$D41+$E41+$F41+$G41)</f>
        <v/>
      </c>
      <c r="I41" s="11" t="str">
        <f aca="false">IF($A41="","",SUMIFS('Sales Log'!$F$3:$F$503,'Sales Log'!$O$3:$O$503,$A41))</f>
        <v/>
      </c>
      <c r="J41" s="11" t="str">
        <f aca="false">IF($A41="","",SUMIFS('Sales Log'!$H$3:$H$503,'Sales Log'!$O$3:$O$503,$A41))</f>
        <v/>
      </c>
      <c r="K41" s="11" t="str">
        <f aca="false">IF($A41="","",SUMIFS('Sales Log'!$I$3:$I$503,'Sales Log'!$O$3:$O$503,$A41))</f>
        <v/>
      </c>
      <c r="L41" s="11" t="str">
        <f aca="false">IF($A41="","",$I41-$J41-$K41-$H41)</f>
        <v/>
      </c>
      <c r="M41" s="11" t="str">
        <f aca="false">IF($A41="","",IFERROR($H41/(1-$J41/$I41),$H41))</f>
        <v/>
      </c>
      <c r="N41" s="14"/>
    </row>
    <row r="42" customFormat="false" ht="15" hidden="false" customHeight="false" outlineLevel="0" collapsed="false">
      <c r="A42" s="14"/>
      <c r="B42" s="16"/>
      <c r="C42" s="14"/>
      <c r="D42" s="11"/>
      <c r="E42" s="11"/>
      <c r="F42" s="11"/>
      <c r="G42" s="11"/>
      <c r="H42" s="11" t="str">
        <f aca="false">IF($A42="","",$D42+$E42+$F42+$G42)</f>
        <v/>
      </c>
      <c r="I42" s="11" t="str">
        <f aca="false">IF($A42="","",SUMIFS('Sales Log'!$F$3:$F$503,'Sales Log'!$O$3:$O$503,$A42))</f>
        <v/>
      </c>
      <c r="J42" s="11" t="str">
        <f aca="false">IF($A42="","",SUMIFS('Sales Log'!$H$3:$H$503,'Sales Log'!$O$3:$O$503,$A42))</f>
        <v/>
      </c>
      <c r="K42" s="11" t="str">
        <f aca="false">IF($A42="","",SUMIFS('Sales Log'!$I$3:$I$503,'Sales Log'!$O$3:$O$503,$A42))</f>
        <v/>
      </c>
      <c r="L42" s="11" t="str">
        <f aca="false">IF($A42="","",$I42-$J42-$K42-$H42)</f>
        <v/>
      </c>
      <c r="M42" s="11" t="str">
        <f aca="false">IF($A42="","",IFERROR($H42/(1-$J42/$I42),$H42))</f>
        <v/>
      </c>
      <c r="N42" s="14"/>
    </row>
    <row r="43" customFormat="false" ht="15" hidden="false" customHeight="false" outlineLevel="0" collapsed="false">
      <c r="A43" s="14"/>
      <c r="B43" s="16"/>
      <c r="C43" s="14"/>
      <c r="D43" s="11"/>
      <c r="E43" s="11"/>
      <c r="F43" s="11"/>
      <c r="G43" s="11"/>
      <c r="H43" s="11" t="str">
        <f aca="false">IF($A43="","",$D43+$E43+$F43+$G43)</f>
        <v/>
      </c>
      <c r="I43" s="11" t="str">
        <f aca="false">IF($A43="","",SUMIFS('Sales Log'!$F$3:$F$503,'Sales Log'!$O$3:$O$503,$A43))</f>
        <v/>
      </c>
      <c r="J43" s="11" t="str">
        <f aca="false">IF($A43="","",SUMIFS('Sales Log'!$H$3:$H$503,'Sales Log'!$O$3:$O$503,$A43))</f>
        <v/>
      </c>
      <c r="K43" s="11" t="str">
        <f aca="false">IF($A43="","",SUMIFS('Sales Log'!$I$3:$I$503,'Sales Log'!$O$3:$O$503,$A43))</f>
        <v/>
      </c>
      <c r="L43" s="11" t="str">
        <f aca="false">IF($A43="","",$I43-$J43-$K43-$H43)</f>
        <v/>
      </c>
      <c r="M43" s="11" t="str">
        <f aca="false">IF($A43="","",IFERROR($H43/(1-$J43/$I43),$H43))</f>
        <v/>
      </c>
      <c r="N43" s="14"/>
    </row>
    <row r="44" customFormat="false" ht="15" hidden="false" customHeight="false" outlineLevel="0" collapsed="false">
      <c r="A44" s="14"/>
      <c r="B44" s="16"/>
      <c r="C44" s="14"/>
      <c r="D44" s="11"/>
      <c r="E44" s="11"/>
      <c r="F44" s="11"/>
      <c r="G44" s="11"/>
      <c r="H44" s="11" t="str">
        <f aca="false">IF($A44="","",$D44+$E44+$F44+$G44)</f>
        <v/>
      </c>
      <c r="I44" s="11" t="str">
        <f aca="false">IF($A44="","",SUMIFS('Sales Log'!$F$3:$F$503,'Sales Log'!$O$3:$O$503,$A44))</f>
        <v/>
      </c>
      <c r="J44" s="11" t="str">
        <f aca="false">IF($A44="","",SUMIFS('Sales Log'!$H$3:$H$503,'Sales Log'!$O$3:$O$503,$A44))</f>
        <v/>
      </c>
      <c r="K44" s="11" t="str">
        <f aca="false">IF($A44="","",SUMIFS('Sales Log'!$I$3:$I$503,'Sales Log'!$O$3:$O$503,$A44))</f>
        <v/>
      </c>
      <c r="L44" s="11" t="str">
        <f aca="false">IF($A44="","",$I44-$J44-$K44-$H44)</f>
        <v/>
      </c>
      <c r="M44" s="11" t="str">
        <f aca="false">IF($A44="","",IFERROR($H44/(1-$J44/$I44),$H44))</f>
        <v/>
      </c>
      <c r="N44" s="14"/>
    </row>
    <row r="45" customFormat="false" ht="15" hidden="false" customHeight="false" outlineLevel="0" collapsed="false">
      <c r="A45" s="14"/>
      <c r="B45" s="16"/>
      <c r="C45" s="14"/>
      <c r="D45" s="11"/>
      <c r="E45" s="11"/>
      <c r="F45" s="11"/>
      <c r="G45" s="11"/>
      <c r="H45" s="11" t="str">
        <f aca="false">IF($A45="","",$D45+$E45+$F45+$G45)</f>
        <v/>
      </c>
      <c r="I45" s="11" t="str">
        <f aca="false">IF($A45="","",SUMIFS('Sales Log'!$F$3:$F$503,'Sales Log'!$O$3:$O$503,$A45))</f>
        <v/>
      </c>
      <c r="J45" s="11" t="str">
        <f aca="false">IF($A45="","",SUMIFS('Sales Log'!$H$3:$H$503,'Sales Log'!$O$3:$O$503,$A45))</f>
        <v/>
      </c>
      <c r="K45" s="11" t="str">
        <f aca="false">IF($A45="","",SUMIFS('Sales Log'!$I$3:$I$503,'Sales Log'!$O$3:$O$503,$A45))</f>
        <v/>
      </c>
      <c r="L45" s="11" t="str">
        <f aca="false">IF($A45="","",$I45-$J45-$K45-$H45)</f>
        <v/>
      </c>
      <c r="M45" s="11" t="str">
        <f aca="false">IF($A45="","",IFERROR($H45/(1-$J45/$I45),$H45))</f>
        <v/>
      </c>
      <c r="N45" s="14"/>
    </row>
    <row r="46" customFormat="false" ht="15" hidden="false" customHeight="false" outlineLevel="0" collapsed="false">
      <c r="A46" s="14"/>
      <c r="B46" s="16"/>
      <c r="C46" s="14"/>
      <c r="D46" s="11"/>
      <c r="E46" s="11"/>
      <c r="F46" s="11"/>
      <c r="G46" s="11"/>
      <c r="H46" s="11" t="str">
        <f aca="false">IF($A46="","",$D46+$E46+$F46+$G46)</f>
        <v/>
      </c>
      <c r="I46" s="11" t="str">
        <f aca="false">IF($A46="","",SUMIFS('Sales Log'!$F$3:$F$503,'Sales Log'!$O$3:$O$503,$A46))</f>
        <v/>
      </c>
      <c r="J46" s="11" t="str">
        <f aca="false">IF($A46="","",SUMIFS('Sales Log'!$H$3:$H$503,'Sales Log'!$O$3:$O$503,$A46))</f>
        <v/>
      </c>
      <c r="K46" s="11" t="str">
        <f aca="false">IF($A46="","",SUMIFS('Sales Log'!$I$3:$I$503,'Sales Log'!$O$3:$O$503,$A46))</f>
        <v/>
      </c>
      <c r="L46" s="11" t="str">
        <f aca="false">IF($A46="","",$I46-$J46-$K46-$H46)</f>
        <v/>
      </c>
      <c r="M46" s="11" t="str">
        <f aca="false">IF($A46="","",IFERROR($H46/(1-$J46/$I46),$H46))</f>
        <v/>
      </c>
      <c r="N46" s="14"/>
    </row>
    <row r="47" customFormat="false" ht="15" hidden="false" customHeight="false" outlineLevel="0" collapsed="false">
      <c r="A47" s="14"/>
      <c r="B47" s="16"/>
      <c r="C47" s="14"/>
      <c r="D47" s="11"/>
      <c r="E47" s="11"/>
      <c r="F47" s="11"/>
      <c r="G47" s="11"/>
      <c r="H47" s="11" t="str">
        <f aca="false">IF($A47="","",$D47+$E47+$F47+$G47)</f>
        <v/>
      </c>
      <c r="I47" s="11" t="str">
        <f aca="false">IF($A47="","",SUMIFS('Sales Log'!$F$3:$F$503,'Sales Log'!$O$3:$O$503,$A47))</f>
        <v/>
      </c>
      <c r="J47" s="11" t="str">
        <f aca="false">IF($A47="","",SUMIFS('Sales Log'!$H$3:$H$503,'Sales Log'!$O$3:$O$503,$A47))</f>
        <v/>
      </c>
      <c r="K47" s="11" t="str">
        <f aca="false">IF($A47="","",SUMIFS('Sales Log'!$I$3:$I$503,'Sales Log'!$O$3:$O$503,$A47))</f>
        <v/>
      </c>
      <c r="L47" s="11" t="str">
        <f aca="false">IF($A47="","",$I47-$J47-$K47-$H47)</f>
        <v/>
      </c>
      <c r="M47" s="11" t="str">
        <f aca="false">IF($A47="","",IFERROR($H47/(1-$J47/$I47),$H47))</f>
        <v/>
      </c>
      <c r="N47" s="14"/>
    </row>
    <row r="48" customFormat="false" ht="15" hidden="false" customHeight="false" outlineLevel="0" collapsed="false">
      <c r="A48" s="14"/>
      <c r="B48" s="16"/>
      <c r="C48" s="14"/>
      <c r="D48" s="11"/>
      <c r="E48" s="11"/>
      <c r="F48" s="11"/>
      <c r="G48" s="11"/>
      <c r="H48" s="11" t="str">
        <f aca="false">IF($A48="","",$D48+$E48+$F48+$G48)</f>
        <v/>
      </c>
      <c r="I48" s="11" t="str">
        <f aca="false">IF($A48="","",SUMIFS('Sales Log'!$F$3:$F$503,'Sales Log'!$O$3:$O$503,$A48))</f>
        <v/>
      </c>
      <c r="J48" s="11" t="str">
        <f aca="false">IF($A48="","",SUMIFS('Sales Log'!$H$3:$H$503,'Sales Log'!$O$3:$O$503,$A48))</f>
        <v/>
      </c>
      <c r="K48" s="11" t="str">
        <f aca="false">IF($A48="","",SUMIFS('Sales Log'!$I$3:$I$503,'Sales Log'!$O$3:$O$503,$A48))</f>
        <v/>
      </c>
      <c r="L48" s="11" t="str">
        <f aca="false">IF($A48="","",$I48-$J48-$K48-$H48)</f>
        <v/>
      </c>
      <c r="M48" s="11" t="str">
        <f aca="false">IF($A48="","",IFERROR($H48/(1-$J48/$I48),$H48))</f>
        <v/>
      </c>
      <c r="N48" s="14"/>
    </row>
    <row r="49" customFormat="false" ht="15" hidden="false" customHeight="false" outlineLevel="0" collapsed="false">
      <c r="A49" s="14"/>
      <c r="B49" s="16"/>
      <c r="C49" s="14"/>
      <c r="D49" s="11"/>
      <c r="E49" s="11"/>
      <c r="F49" s="11"/>
      <c r="G49" s="11"/>
      <c r="H49" s="11" t="str">
        <f aca="false">IF($A49="","",$D49+$E49+$F49+$G49)</f>
        <v/>
      </c>
      <c r="I49" s="11" t="str">
        <f aca="false">IF($A49="","",SUMIFS('Sales Log'!$F$3:$F$503,'Sales Log'!$O$3:$O$503,$A49))</f>
        <v/>
      </c>
      <c r="J49" s="11" t="str">
        <f aca="false">IF($A49="","",SUMIFS('Sales Log'!$H$3:$H$503,'Sales Log'!$O$3:$O$503,$A49))</f>
        <v/>
      </c>
      <c r="K49" s="11" t="str">
        <f aca="false">IF($A49="","",SUMIFS('Sales Log'!$I$3:$I$503,'Sales Log'!$O$3:$O$503,$A49))</f>
        <v/>
      </c>
      <c r="L49" s="11" t="str">
        <f aca="false">IF($A49="","",$I49-$J49-$K49-$H49)</f>
        <v/>
      </c>
      <c r="M49" s="11" t="str">
        <f aca="false">IF($A49="","",IFERROR($H49/(1-$J49/$I49),$H49))</f>
        <v/>
      </c>
      <c r="N49" s="14"/>
    </row>
    <row r="50" customFormat="false" ht="15" hidden="false" customHeight="false" outlineLevel="0" collapsed="false">
      <c r="A50" s="14"/>
      <c r="B50" s="16"/>
      <c r="C50" s="14"/>
      <c r="D50" s="11"/>
      <c r="E50" s="11"/>
      <c r="F50" s="11"/>
      <c r="G50" s="11"/>
      <c r="H50" s="11" t="str">
        <f aca="false">IF($A50="","",$D50+$E50+$F50+$G50)</f>
        <v/>
      </c>
      <c r="I50" s="11" t="str">
        <f aca="false">IF($A50="","",SUMIFS('Sales Log'!$F$3:$F$503,'Sales Log'!$O$3:$O$503,$A50))</f>
        <v/>
      </c>
      <c r="J50" s="11" t="str">
        <f aca="false">IF($A50="","",SUMIFS('Sales Log'!$H$3:$H$503,'Sales Log'!$O$3:$O$503,$A50))</f>
        <v/>
      </c>
      <c r="K50" s="11" t="str">
        <f aca="false">IF($A50="","",SUMIFS('Sales Log'!$I$3:$I$503,'Sales Log'!$O$3:$O$503,$A50))</f>
        <v/>
      </c>
      <c r="L50" s="11" t="str">
        <f aca="false">IF($A50="","",$I50-$J50-$K50-$H50)</f>
        <v/>
      </c>
      <c r="M50" s="11" t="str">
        <f aca="false">IF($A50="","",IFERROR($H50/(1-$J50/$I50),$H50))</f>
        <v/>
      </c>
      <c r="N50" s="14"/>
    </row>
    <row r="51" customFormat="false" ht="15" hidden="false" customHeight="false" outlineLevel="0" collapsed="false">
      <c r="A51" s="14"/>
      <c r="B51" s="16"/>
      <c r="C51" s="14"/>
      <c r="D51" s="11"/>
      <c r="E51" s="11"/>
      <c r="F51" s="11"/>
      <c r="G51" s="11"/>
      <c r="H51" s="11" t="str">
        <f aca="false">IF($A51="","",$D51+$E51+$F51+$G51)</f>
        <v/>
      </c>
      <c r="I51" s="11" t="str">
        <f aca="false">IF($A51="","",SUMIFS('Sales Log'!$F$3:$F$503,'Sales Log'!$O$3:$O$503,$A51))</f>
        <v/>
      </c>
      <c r="J51" s="11" t="str">
        <f aca="false">IF($A51="","",SUMIFS('Sales Log'!$H$3:$H$503,'Sales Log'!$O$3:$O$503,$A51))</f>
        <v/>
      </c>
      <c r="K51" s="11" t="str">
        <f aca="false">IF($A51="","",SUMIFS('Sales Log'!$I$3:$I$503,'Sales Log'!$O$3:$O$503,$A51))</f>
        <v/>
      </c>
      <c r="L51" s="11" t="str">
        <f aca="false">IF($A51="","",$I51-$J51-$K51-$H51)</f>
        <v/>
      </c>
      <c r="M51" s="11" t="str">
        <f aca="false">IF($A51="","",IFERROR($H51/(1-$J51/$I51),$H51))</f>
        <v/>
      </c>
      <c r="N51" s="14"/>
    </row>
    <row r="52" customFormat="false" ht="15" hidden="false" customHeight="false" outlineLevel="0" collapsed="false">
      <c r="A52" s="14"/>
      <c r="B52" s="16"/>
      <c r="C52" s="14"/>
      <c r="D52" s="11"/>
      <c r="E52" s="11"/>
      <c r="F52" s="11"/>
      <c r="G52" s="11"/>
      <c r="H52" s="11" t="str">
        <f aca="false">IF($A52="","",$D52+$E52+$F52+$G52)</f>
        <v/>
      </c>
      <c r="I52" s="11" t="str">
        <f aca="false">IF($A52="","",SUMIFS('Sales Log'!$F$3:$F$503,'Sales Log'!$O$3:$O$503,$A52))</f>
        <v/>
      </c>
      <c r="J52" s="11" t="str">
        <f aca="false">IF($A52="","",SUMIFS('Sales Log'!$H$3:$H$503,'Sales Log'!$O$3:$O$503,$A52))</f>
        <v/>
      </c>
      <c r="K52" s="11" t="str">
        <f aca="false">IF($A52="","",SUMIFS('Sales Log'!$I$3:$I$503,'Sales Log'!$O$3:$O$503,$A52))</f>
        <v/>
      </c>
      <c r="L52" s="11" t="str">
        <f aca="false">IF($A52="","",$I52-$J52-$K52-$H52)</f>
        <v/>
      </c>
      <c r="M52" s="11" t="str">
        <f aca="false">IF($A52="","",IFERROR($H52/(1-$J52/$I52),$H52))</f>
        <v/>
      </c>
      <c r="N52" s="14"/>
    </row>
    <row r="53" customFormat="false" ht="15" hidden="false" customHeight="false" outlineLevel="0" collapsed="false">
      <c r="A53" s="14"/>
      <c r="B53" s="16"/>
      <c r="C53" s="14"/>
      <c r="D53" s="11"/>
      <c r="E53" s="11"/>
      <c r="F53" s="11"/>
      <c r="G53" s="11"/>
      <c r="H53" s="11" t="str">
        <f aca="false">IF($A53="","",$D53+$E53+$F53+$G53)</f>
        <v/>
      </c>
      <c r="I53" s="11" t="str">
        <f aca="false">IF($A53="","",SUMIFS('Sales Log'!$F$3:$F$503,'Sales Log'!$O$3:$O$503,$A53))</f>
        <v/>
      </c>
      <c r="J53" s="11" t="str">
        <f aca="false">IF($A53="","",SUMIFS('Sales Log'!$H$3:$H$503,'Sales Log'!$O$3:$O$503,$A53))</f>
        <v/>
      </c>
      <c r="K53" s="11" t="str">
        <f aca="false">IF($A53="","",SUMIFS('Sales Log'!$I$3:$I$503,'Sales Log'!$O$3:$O$503,$A53))</f>
        <v/>
      </c>
      <c r="L53" s="11" t="str">
        <f aca="false">IF($A53="","",$I53-$J53-$K53-$H53)</f>
        <v/>
      </c>
      <c r="M53" s="11" t="str">
        <f aca="false">IF($A53="","",IFERROR($H53/(1-$J53/$I53),$H53))</f>
        <v/>
      </c>
      <c r="N53" s="14"/>
    </row>
  </sheetData>
  <mergeCells count="1">
    <mergeCell ref="A1:N1"/>
  </mergeCells>
  <conditionalFormatting sqref="L3:L53">
    <cfRule type="cellIs" priority="2" operator="lessThan" aboveAverage="0" equalAverage="0" bottom="0" percent="0" rank="0" text="" dxfId="5">
      <formula>0</formula>
    </cfRule>
    <cfRule type="cellIs" priority="3" operator="greaterThan" aboveAverage="0" equalAverage="0" bottom="0" percent="0" rank="0" text="" dxfId="6">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1E1D"/>
    <pageSetUpPr fitToPage="fals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 min="5" style="0" width="13"/>
    <col collapsed="false" customWidth="true" hidden="false" outlineLevel="0" max="7" min="7" style="0" width="11"/>
    <col collapsed="false" customWidth="true" hidden="false" outlineLevel="0" max="8" min="8" style="0" width="13"/>
    <col collapsed="false" customWidth="true" hidden="false" outlineLevel="0" max="9" min="9" style="0" width="11"/>
  </cols>
  <sheetData>
    <row r="1" customFormat="false" ht="25.5" hidden="false" customHeight="true" outlineLevel="0" collapsed="false">
      <c r="A1" s="6" t="s">
        <v>108</v>
      </c>
      <c r="B1" s="6"/>
      <c r="C1" s="6"/>
      <c r="D1" s="6"/>
      <c r="E1" s="6"/>
      <c r="F1" s="6"/>
      <c r="G1" s="6"/>
      <c r="H1" s="6"/>
      <c r="I1" s="6"/>
    </row>
    <row r="3" customFormat="false" ht="19.5" hidden="false" customHeight="true" outlineLevel="0" collapsed="false">
      <c r="A3" s="17" t="s">
        <v>109</v>
      </c>
      <c r="B3" s="17"/>
      <c r="D3" s="17" t="s">
        <v>110</v>
      </c>
      <c r="E3" s="17"/>
      <c r="F3" s="17"/>
      <c r="G3" s="17"/>
      <c r="H3" s="17"/>
      <c r="I3" s="17"/>
    </row>
    <row r="4" customFormat="false" ht="15" hidden="false" customHeight="false" outlineLevel="0" collapsed="false">
      <c r="A4" s="14" t="s">
        <v>111</v>
      </c>
      <c r="B4" s="18" t="n">
        <f aca="false">COUNTA(Inventory!$A$3:$A$253)</f>
        <v>1</v>
      </c>
      <c r="D4" s="19" t="s">
        <v>87</v>
      </c>
      <c r="E4" s="19" t="s">
        <v>82</v>
      </c>
      <c r="F4" s="19" t="s">
        <v>84</v>
      </c>
      <c r="G4" s="19" t="s">
        <v>85</v>
      </c>
      <c r="H4" s="19" t="s">
        <v>106</v>
      </c>
      <c r="I4" s="19" t="s">
        <v>40</v>
      </c>
    </row>
    <row r="5" customFormat="false" ht="15" hidden="false" customHeight="false" outlineLevel="0" collapsed="false">
      <c r="A5" s="14" t="s">
        <v>112</v>
      </c>
      <c r="B5" s="18" t="n">
        <f aca="false">SUM(Inventory!$F$3:$F$253)</f>
        <v>2</v>
      </c>
      <c r="D5" s="14" t="str">
        <f aca="false">IF(Lists!$D$3="","",Lists!$D$3)</f>
        <v>Card Show</v>
      </c>
      <c r="E5" s="11" t="n">
        <f aca="false">IFERROR(SUMIFS('Sales Log'!$F$3:$F$503,'Sales Log'!$N$3:$N$503,$D5),0)</f>
        <v>64</v>
      </c>
      <c r="F5" s="11" t="n">
        <f aca="false">IFERROR(SUMIFS('Sales Log'!$H$3:$H$503,'Sales Log'!$N$3:$N$503,$D5),0)</f>
        <v>42</v>
      </c>
      <c r="G5" s="11" t="n">
        <f aca="false">IFERROR(SUMIFS('Sales Log'!$I$3:$I$503,'Sales Log'!$N$3:$N$503,$D5),0)</f>
        <v>0</v>
      </c>
      <c r="H5" s="11" t="n">
        <f aca="false">$E5-$F5-$G5</f>
        <v>22</v>
      </c>
      <c r="I5" s="12" t="n">
        <f aca="false">IFERROR($H5/$E5,"")</f>
        <v>0.34375</v>
      </c>
    </row>
    <row r="6" customFormat="false" ht="15" hidden="false" customHeight="false" outlineLevel="0" collapsed="false">
      <c r="A6" s="14" t="s">
        <v>113</v>
      </c>
      <c r="B6" s="20" t="n">
        <f aca="false">SUM(Inventory!$H$3:$H$253)</f>
        <v>84</v>
      </c>
      <c r="D6" s="14" t="str">
        <f aca="false">IF(Lists!$D$4="","",Lists!$D$4)</f>
        <v>TCGPlayer</v>
      </c>
      <c r="E6" s="11" t="n">
        <f aca="false">IFERROR(SUMIFS('Sales Log'!$F$3:$F$503,'Sales Log'!$N$3:$N$503,$D6),0)</f>
        <v>0</v>
      </c>
      <c r="F6" s="11" t="n">
        <f aca="false">IFERROR(SUMIFS('Sales Log'!$H$3:$H$503,'Sales Log'!$N$3:$N$503,$D6),0)</f>
        <v>0</v>
      </c>
      <c r="G6" s="11" t="n">
        <f aca="false">IFERROR(SUMIFS('Sales Log'!$I$3:$I$503,'Sales Log'!$N$3:$N$503,$D6),0)</f>
        <v>0</v>
      </c>
      <c r="H6" s="11" t="n">
        <f aca="false">$E6-$F6-$G6</f>
        <v>0</v>
      </c>
      <c r="I6" s="12" t="str">
        <f aca="false">IFERROR($H6/$E6,"")</f>
        <v/>
      </c>
    </row>
    <row r="7" customFormat="false" ht="15" hidden="false" customHeight="false" outlineLevel="0" collapsed="false">
      <c r="A7" s="14" t="s">
        <v>114</v>
      </c>
      <c r="B7" s="20" t="n">
        <f aca="false">IFERROR(SUMPRODUCT(Inventory!$F$3:$F$253,Inventory!$J$3:$J$253),0)</f>
        <v>128</v>
      </c>
      <c r="D7" s="14" t="str">
        <f aca="false">IF(Lists!$D$5="","",Lists!$D$5)</f>
        <v>eBay</v>
      </c>
      <c r="E7" s="11" t="n">
        <f aca="false">IFERROR(SUMIFS('Sales Log'!$F$3:$F$503,'Sales Log'!$N$3:$N$503,$D7),0)</f>
        <v>0</v>
      </c>
      <c r="F7" s="11" t="n">
        <f aca="false">IFERROR(SUMIFS('Sales Log'!$H$3:$H$503,'Sales Log'!$N$3:$N$503,$D7),0)</f>
        <v>0</v>
      </c>
      <c r="G7" s="11" t="n">
        <f aca="false">IFERROR(SUMIFS('Sales Log'!$I$3:$I$503,'Sales Log'!$N$3:$N$503,$D7),0)</f>
        <v>0</v>
      </c>
      <c r="H7" s="11" t="n">
        <f aca="false">$E7-$F7-$G7</f>
        <v>0</v>
      </c>
      <c r="I7" s="12" t="str">
        <f aca="false">IFERROR($H7/$E7,"")</f>
        <v/>
      </c>
    </row>
    <row r="8" customFormat="false" ht="15" hidden="false" customHeight="false" outlineLevel="0" collapsed="false">
      <c r="A8" s="14" t="s">
        <v>115</v>
      </c>
      <c r="B8" s="20" t="n">
        <f aca="false">B7-B6</f>
        <v>44</v>
      </c>
      <c r="D8" s="14" t="str">
        <f aca="false">IF(Lists!$D$6="","",Lists!$D$6)</f>
        <v>Whatnot</v>
      </c>
      <c r="E8" s="11" t="n">
        <f aca="false">IFERROR(SUMIFS('Sales Log'!$F$3:$F$503,'Sales Log'!$N$3:$N$503,$D8),0)</f>
        <v>0</v>
      </c>
      <c r="F8" s="11" t="n">
        <f aca="false">IFERROR(SUMIFS('Sales Log'!$H$3:$H$503,'Sales Log'!$N$3:$N$503,$D8),0)</f>
        <v>0</v>
      </c>
      <c r="G8" s="11" t="n">
        <f aca="false">IFERROR(SUMIFS('Sales Log'!$I$3:$I$503,'Sales Log'!$N$3:$N$503,$D8),0)</f>
        <v>0</v>
      </c>
      <c r="H8" s="11" t="n">
        <f aca="false">$E8-$F8-$G8</f>
        <v>0</v>
      </c>
      <c r="I8" s="12" t="str">
        <f aca="false">IFERROR($H8/$E8,"")</f>
        <v/>
      </c>
    </row>
    <row r="9" customFormat="false" ht="15" hidden="false" customHeight="false" outlineLevel="0" collapsed="false">
      <c r="A9" s="14" t="s">
        <v>116</v>
      </c>
      <c r="B9" s="21" t="n">
        <f aca="false">IFERROR(B8/B7,"")</f>
        <v>0.34375</v>
      </c>
      <c r="D9" s="14" t="str">
        <f aca="false">IF(Lists!$D$7="","",Lists!$D$7)</f>
        <v>Facebook</v>
      </c>
      <c r="E9" s="11" t="n">
        <f aca="false">IFERROR(SUMIFS('Sales Log'!$F$3:$F$503,'Sales Log'!$N$3:$N$503,$D9),0)</f>
        <v>0</v>
      </c>
      <c r="F9" s="11" t="n">
        <f aca="false">IFERROR(SUMIFS('Sales Log'!$H$3:$H$503,'Sales Log'!$N$3:$N$503,$D9),0)</f>
        <v>0</v>
      </c>
      <c r="G9" s="11" t="n">
        <f aca="false">IFERROR(SUMIFS('Sales Log'!$I$3:$I$503,'Sales Log'!$N$3:$N$503,$D9),0)</f>
        <v>0</v>
      </c>
      <c r="H9" s="11" t="n">
        <f aca="false">$E9-$F9-$G9</f>
        <v>0</v>
      </c>
      <c r="I9" s="12" t="str">
        <f aca="false">IFERROR($H9/$E9,"")</f>
        <v/>
      </c>
    </row>
    <row r="10" customFormat="false" ht="15" hidden="false" customHeight="false" outlineLevel="0" collapsed="false">
      <c r="D10" s="14" t="str">
        <f aca="false">IF(Lists!$D$8="","",Lists!$D$8)</f>
        <v>Local / Cash</v>
      </c>
      <c r="E10" s="11" t="n">
        <f aca="false">IFERROR(SUMIFS('Sales Log'!$F$3:$F$503,'Sales Log'!$N$3:$N$503,$D10),0)</f>
        <v>0</v>
      </c>
      <c r="F10" s="11" t="n">
        <f aca="false">IFERROR(SUMIFS('Sales Log'!$H$3:$H$503,'Sales Log'!$N$3:$N$503,$D10),0)</f>
        <v>0</v>
      </c>
      <c r="G10" s="11" t="n">
        <f aca="false">IFERROR(SUMIFS('Sales Log'!$I$3:$I$503,'Sales Log'!$N$3:$N$503,$D10),0)</f>
        <v>0</v>
      </c>
      <c r="H10" s="11" t="n">
        <f aca="false">$E10-$F10-$G10</f>
        <v>0</v>
      </c>
      <c r="I10" s="12" t="str">
        <f aca="false">IFERROR($H10/$E10,"")</f>
        <v/>
      </c>
    </row>
    <row r="11" customFormat="false" ht="19.5" hidden="false" customHeight="true" outlineLevel="0" collapsed="false">
      <c r="A11" s="17" t="s">
        <v>117</v>
      </c>
      <c r="B11" s="17"/>
      <c r="D11" s="14" t="str">
        <f aca="false">IF(Lists!$D$9="","",Lists!$D$9)</f>
        <v>Other</v>
      </c>
      <c r="E11" s="11" t="n">
        <f aca="false">IFERROR(SUMIFS('Sales Log'!$F$3:$F$503,'Sales Log'!$N$3:$N$503,$D11),0)</f>
        <v>0</v>
      </c>
      <c r="F11" s="11" t="n">
        <f aca="false">IFERROR(SUMIFS('Sales Log'!$H$3:$H$503,'Sales Log'!$N$3:$N$503,$D11),0)</f>
        <v>0</v>
      </c>
      <c r="G11" s="11" t="n">
        <f aca="false">IFERROR(SUMIFS('Sales Log'!$I$3:$I$503,'Sales Log'!$N$3:$N$503,$D11),0)</f>
        <v>0</v>
      </c>
      <c r="H11" s="11" t="n">
        <f aca="false">$E11-$F11-$G11</f>
        <v>0</v>
      </c>
      <c r="I11" s="12" t="str">
        <f aca="false">IFERROR($H11/$E11,"")</f>
        <v/>
      </c>
    </row>
    <row r="12" customFormat="false" ht="15" hidden="false" customHeight="false" outlineLevel="0" collapsed="false">
      <c r="A12" s="14" t="s">
        <v>118</v>
      </c>
      <c r="B12" s="18" t="n">
        <f aca="false">COUNT('Sales Log'!$F$3:$F$503)</f>
        <v>1</v>
      </c>
      <c r="D12" s="22" t="s">
        <v>119</v>
      </c>
      <c r="E12" s="23" t="n">
        <f aca="false">SUM(E5:E11)</f>
        <v>64</v>
      </c>
      <c r="F12" s="23" t="n">
        <f aca="false">SUM(F5:F11)</f>
        <v>42</v>
      </c>
      <c r="G12" s="23" t="n">
        <f aca="false">SUM(G5:G11)</f>
        <v>0</v>
      </c>
      <c r="H12" s="23" t="n">
        <f aca="false">SUM(H5:H11)</f>
        <v>22</v>
      </c>
      <c r="I12" s="24" t="n">
        <f aca="false">IFERROR($H12/$E12,"")</f>
        <v>0.34375</v>
      </c>
    </row>
    <row r="13" customFormat="false" ht="15" hidden="false" customHeight="false" outlineLevel="0" collapsed="false">
      <c r="A13" s="14" t="s">
        <v>120</v>
      </c>
      <c r="B13" s="18" t="n">
        <f aca="false">SUM('Sales Log'!$D$3:$D$503)</f>
        <v>1</v>
      </c>
    </row>
    <row r="14" customFormat="false" ht="15" hidden="false" customHeight="false" outlineLevel="0" collapsed="false">
      <c r="A14" s="14" t="s">
        <v>121</v>
      </c>
      <c r="B14" s="20" t="n">
        <f aca="false">SUM('Sales Log'!$F$3:$F$503)</f>
        <v>64</v>
      </c>
      <c r="D14" s="25" t="s">
        <v>122</v>
      </c>
    </row>
    <row r="15" customFormat="false" ht="15" hidden="false" customHeight="false" outlineLevel="0" collapsed="false">
      <c r="A15" s="14" t="s">
        <v>123</v>
      </c>
      <c r="B15" s="20" t="n">
        <f aca="false">SUM('Sales Log'!$H$3:$H$503)</f>
        <v>42</v>
      </c>
    </row>
    <row r="16" customFormat="false" ht="15" hidden="false" customHeight="false" outlineLevel="0" collapsed="false">
      <c r="A16" s="14" t="s">
        <v>124</v>
      </c>
      <c r="B16" s="20" t="n">
        <f aca="false">SUM('Sales Log'!$I$3:$I$503)</f>
        <v>0</v>
      </c>
    </row>
    <row r="17" customFormat="false" ht="15" hidden="false" customHeight="false" outlineLevel="0" collapsed="false">
      <c r="A17" s="14" t="s">
        <v>125</v>
      </c>
      <c r="B17" s="20" t="n">
        <f aca="false">SUM('Sales Log'!$J$3:$J$503)</f>
        <v>0</v>
      </c>
    </row>
    <row r="18" customFormat="false" ht="15" hidden="false" customHeight="false" outlineLevel="0" collapsed="false">
      <c r="A18" s="14" t="s">
        <v>126</v>
      </c>
      <c r="B18" s="20" t="n">
        <f aca="false">SUM('Sales Log'!$L$3:$L$503)</f>
        <v>22</v>
      </c>
    </row>
    <row r="19" customFormat="false" ht="15" hidden="false" customHeight="false" outlineLevel="0" collapsed="false">
      <c r="A19" s="14" t="s">
        <v>127</v>
      </c>
      <c r="B19" s="21" t="n">
        <f aca="false">IFERROR(B18/B14,"")</f>
        <v>0.34375</v>
      </c>
    </row>
    <row r="20" customFormat="false" ht="15" hidden="false" customHeight="false" outlineLevel="0" collapsed="false">
      <c r="A20" s="14" t="s">
        <v>128</v>
      </c>
      <c r="B20" s="20" t="n">
        <f aca="false">IFERROR(B18/B12,"")</f>
        <v>22</v>
      </c>
    </row>
    <row r="22" customFormat="false" ht="19.5" hidden="false" customHeight="true" outlineLevel="0" collapsed="false">
      <c r="A22" s="17" t="s">
        <v>129</v>
      </c>
      <c r="B22" s="17"/>
    </row>
    <row r="23" customFormat="false" ht="15" hidden="false" customHeight="false" outlineLevel="0" collapsed="false">
      <c r="A23" s="14" t="s">
        <v>130</v>
      </c>
      <c r="B23" s="18" t="n">
        <f aca="false">COUNTA('Show P&amp;L'!$A$3:$A$53)</f>
        <v>1</v>
      </c>
    </row>
    <row r="24" customFormat="false" ht="15" hidden="false" customHeight="false" outlineLevel="0" collapsed="false">
      <c r="A24" s="14" t="s">
        <v>131</v>
      </c>
      <c r="B24" s="20" t="n">
        <f aca="false">SUM('Show P&amp;L'!$H$3:$H$53)</f>
        <v>115</v>
      </c>
    </row>
    <row r="25" customFormat="false" ht="15" hidden="false" customHeight="false" outlineLevel="0" collapsed="false">
      <c r="A25" s="14" t="s">
        <v>132</v>
      </c>
      <c r="B25" s="20" t="n">
        <f aca="false">SUM('Show P&amp;L'!$L$3:$L$53)</f>
        <v>-93</v>
      </c>
    </row>
  </sheetData>
  <mergeCells count="5">
    <mergeCell ref="A1:I1"/>
    <mergeCell ref="A3:B3"/>
    <mergeCell ref="D3:I3"/>
    <mergeCell ref="A11:B11"/>
    <mergeCell ref="A22: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9891"/>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0"/>
    <col collapsed="false" customWidth="true" hidden="false" outlineLevel="0" max="5" min="4" style="0" width="18"/>
  </cols>
  <sheetData>
    <row r="1" customFormat="false" ht="25.5" hidden="false" customHeight="true" outlineLevel="0" collapsed="false">
      <c r="A1" s="6" t="s">
        <v>133</v>
      </c>
      <c r="B1" s="6"/>
      <c r="C1" s="6"/>
      <c r="D1" s="6"/>
      <c r="E1" s="6"/>
    </row>
    <row r="2" customFormat="false" ht="31.5" hidden="false" customHeight="true" outlineLevel="0" collapsed="false">
      <c r="A2" s="7" t="s">
        <v>55</v>
      </c>
      <c r="B2" s="7" t="s">
        <v>57</v>
      </c>
      <c r="C2" s="7" t="s">
        <v>63</v>
      </c>
      <c r="D2" s="7" t="s">
        <v>87</v>
      </c>
      <c r="E2" s="7" t="s">
        <v>89</v>
      </c>
    </row>
    <row r="3" customFormat="false" ht="15" hidden="false" customHeight="false" outlineLevel="0" collapsed="false">
      <c r="A3" s="14" t="s">
        <v>134</v>
      </c>
      <c r="B3" s="14" t="s">
        <v>72</v>
      </c>
      <c r="C3" s="14" t="s">
        <v>73</v>
      </c>
      <c r="D3" s="14" t="s">
        <v>91</v>
      </c>
      <c r="E3" s="14" t="s">
        <v>93</v>
      </c>
    </row>
    <row r="4" customFormat="false" ht="15" hidden="false" customHeight="false" outlineLevel="0" collapsed="false">
      <c r="A4" s="14" t="s">
        <v>70</v>
      </c>
      <c r="B4" s="14" t="s">
        <v>135</v>
      </c>
      <c r="C4" s="14" t="s">
        <v>136</v>
      </c>
      <c r="D4" s="14" t="s">
        <v>137</v>
      </c>
      <c r="E4" s="14" t="s">
        <v>138</v>
      </c>
    </row>
    <row r="5" customFormat="false" ht="15" hidden="false" customHeight="false" outlineLevel="0" collapsed="false">
      <c r="A5" s="14" t="s">
        <v>139</v>
      </c>
      <c r="B5" s="14" t="s">
        <v>140</v>
      </c>
      <c r="C5" s="14" t="s">
        <v>141</v>
      </c>
      <c r="D5" s="14" t="s">
        <v>142</v>
      </c>
      <c r="E5" s="14" t="s">
        <v>143</v>
      </c>
    </row>
    <row r="6" customFormat="false" ht="15" hidden="false" customHeight="false" outlineLevel="0" collapsed="false">
      <c r="A6" s="14" t="s">
        <v>144</v>
      </c>
      <c r="B6" s="14" t="s">
        <v>145</v>
      </c>
      <c r="C6" s="14" t="s">
        <v>146</v>
      </c>
      <c r="D6" s="14" t="s">
        <v>147</v>
      </c>
      <c r="E6" s="14" t="s">
        <v>148</v>
      </c>
    </row>
    <row r="7" customFormat="false" ht="15" hidden="false" customHeight="false" outlineLevel="0" collapsed="false">
      <c r="A7" s="14" t="s">
        <v>149</v>
      </c>
      <c r="B7" s="14" t="s">
        <v>150</v>
      </c>
      <c r="C7" s="14" t="s">
        <v>151</v>
      </c>
      <c r="D7" s="14" t="s">
        <v>152</v>
      </c>
      <c r="E7" s="14" t="s">
        <v>153</v>
      </c>
    </row>
    <row r="8" customFormat="false" ht="15" hidden="false" customHeight="false" outlineLevel="0" collapsed="false">
      <c r="A8" s="14" t="s">
        <v>154</v>
      </c>
      <c r="B8" s="14" t="s">
        <v>155</v>
      </c>
      <c r="C8" s="14" t="s">
        <v>156</v>
      </c>
      <c r="D8" s="14" t="s">
        <v>157</v>
      </c>
      <c r="E8" s="14" t="s">
        <v>158</v>
      </c>
    </row>
    <row r="9" customFormat="false" ht="15" hidden="false" customHeight="false" outlineLevel="0" collapsed="false">
      <c r="A9" s="14" t="s">
        <v>159</v>
      </c>
      <c r="B9" s="14" t="s">
        <v>160</v>
      </c>
      <c r="C9" s="14" t="s">
        <v>161</v>
      </c>
      <c r="D9" s="14" t="s">
        <v>158</v>
      </c>
    </row>
    <row r="10" customFormat="false" ht="15" hidden="false" customHeight="false" outlineLevel="0" collapsed="false">
      <c r="A10" s="14" t="s">
        <v>162</v>
      </c>
      <c r="B10" s="14" t="s">
        <v>163</v>
      </c>
    </row>
    <row r="11" customFormat="false" ht="15" hidden="false" customHeight="false" outlineLevel="0" collapsed="false">
      <c r="A11" s="14" t="s">
        <v>164</v>
      </c>
      <c r="B11" s="14" t="s">
        <v>165</v>
      </c>
    </row>
    <row r="12" customFormat="false" ht="15" hidden="false" customHeight="false" outlineLevel="0" collapsed="false">
      <c r="A12" s="14" t="s">
        <v>158</v>
      </c>
      <c r="B12" s="14" t="s">
        <v>166</v>
      </c>
    </row>
    <row r="13" customFormat="false" ht="15" hidden="false" customHeight="false" outlineLevel="0" collapsed="false">
      <c r="B13" s="14" t="s">
        <v>167</v>
      </c>
    </row>
    <row r="14" customFormat="false" ht="15" hidden="false" customHeight="false" outlineLevel="0" collapsed="false">
      <c r="B14" s="14" t="s">
        <v>168</v>
      </c>
    </row>
    <row r="15" customFormat="false" ht="15" hidden="false" customHeight="false" outlineLevel="0" collapsed="false">
      <c r="B15" s="14" t="s">
        <v>169</v>
      </c>
    </row>
    <row r="16" customFormat="false" ht="15" hidden="false" customHeight="false" outlineLevel="0" collapsed="false">
      <c r="B16" s="14" t="s">
        <v>170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2026-07-28T10:30:40Z</dcterms:created>
  <dc:creator>Vendly TCG</dc:creator>
  <dc:description>Cost-basis inventory book, sales ledger and per-show P&amp;L for trading card vendors. vendlytcg.com</dc:description>
  <cp:keywords>trading cards inventory cost basis card show vendor</cp:keywords>
  <dc:language>en-US</dc:language>
  <cp:lastModifiedBy/>
  <dcterms:modified xsi:type="dcterms:W3CDTF">2026-07-28T10:30:41Z</dcterms:modified>
  <cp:revision>0</cp:revision>
  <dc:subject/>
  <dc:title>Vendly TCG - Vendor Inventory &amp; Sales Tracker</dc:title>
</cp:coreProperties>
</file>

<file path=docProps/custom.xml><?xml version="1.0" encoding="utf-8"?>
<Properties xmlns="http://schemas.openxmlformats.org/officeDocument/2006/custom-properties" xmlns:vt="http://schemas.openxmlformats.org/officeDocument/2006/docPropsVTypes"/>
</file>